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sonas &amp; Credentials" sheetId="2" state="visible" r:id="rId2"/>
    <sheet xmlns:r="http://schemas.openxmlformats.org/officeDocument/2006/relationships" name="Summary Dashboard" sheetId="3" state="visible" r:id="rId3"/>
    <sheet xmlns:r="http://schemas.openxmlformats.org/officeDocument/2006/relationships" name="Test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766E"/>
      <sz val="14"/>
    </font>
    <font>
      <name val="Arial"/>
      <i val="1"/>
      <color rgb="00666666"/>
      <sz val="9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1FAE5"/>
      </patternFill>
    </fill>
    <fill>
      <patternFill patternType="solid">
        <fgColor rgb="00FDE68A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estCases" displayName="TestCases" ref="A1:J68" headerRowCount="1">
  <autoFilter ref="A1:J68"/>
  <tableColumns count="10">
    <tableColumn id="1" name="Test ID"/>
    <tableColumn id="2" name="Module"/>
    <tableColumn id="3" name="Type"/>
    <tableColumn id="4" name="Priority"/>
    <tableColumn id="5" name="Actor"/>
    <tableColumn id="6" name="Scenario"/>
    <tableColumn id="7" name="Steps"/>
    <tableColumn id="8" name="Expected Result"/>
    <tableColumn id="9" name="Status"/>
    <tableColumn id="10" name="Notes / Refer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IST Health HMIS — End-to-End Workflow Test Scenarios</t>
        </is>
      </c>
    </row>
    <row r="2">
      <c r="A2" s="2" t="inlineStr">
        <is>
          <t>Test plan for exercising every clinical/financial workflow module against the live GNU Health Tryton backend (never mocks).</t>
        </is>
      </c>
    </row>
    <row r="4">
      <c r="A4" s="3" t="inlineStr"/>
    </row>
    <row r="5">
      <c r="A5" s="3" t="inlineStr">
        <is>
          <t>Environment: http://34.7.237.8/login (production VM) or http://localhost:3000/login (local dev pointed at the same backend).</t>
        </is>
      </c>
    </row>
    <row r="6">
      <c r="A6" s="3" t="inlineStr">
        <is>
          <t>All scenarios use the verified demo personas on the 'Personas &amp; Credentials' tab — never real patient data.</t>
        </is>
      </c>
    </row>
    <row r="7">
      <c r="A7" s="3" t="inlineStr">
        <is>
          <t>Use a clearly synthetic patient name for every new registration (e.g. TEST &lt;ScenarioName&gt; &lt;date&gt;), never a real identity.</t>
        </is>
      </c>
    </row>
    <row r="8">
      <c r="A8" s="3" t="inlineStr"/>
    </row>
    <row r="9">
      <c r="A9" s="4" t="inlineStr">
        <is>
          <t>How to use this workbook:</t>
        </is>
      </c>
    </row>
    <row r="10">
      <c r="A10" s="3" t="inlineStr">
        <is>
          <t xml:space="preserve">  1. Work through the 'Test Cases' tab top to bottom, or filter by Module using the table's dropdown arrows.</t>
        </is>
      </c>
    </row>
    <row r="11">
      <c r="A11" s="3" t="inlineStr">
        <is>
          <t xml:space="preserve">  2. Fill in Status (Pass / Fail / Blocked / Not Run) and Notes / Actual Result as you execute each case.</t>
        </is>
      </c>
    </row>
    <row r="12">
      <c r="A12" s="3" t="inlineStr">
        <is>
          <t xml:space="preserve">  3. The 'Summary Dashboard' tab totals automatically from whatever you enter in Status - no manual counting.</t>
        </is>
      </c>
    </row>
    <row r="13">
      <c r="A13" s="3" t="inlineStr"/>
    </row>
    <row r="14">
      <c r="A14" s="3" t="inlineStr">
        <is>
          <t>Column legend (Test Cases tab):</t>
        </is>
      </c>
    </row>
    <row r="15">
      <c r="A15" s="3" t="inlineStr">
        <is>
          <t xml:space="preserve">  Type        - Golden Path (chained scenario) / Functional / Negative / Regression / Security.</t>
        </is>
      </c>
    </row>
    <row r="16">
      <c r="A16" s="3" t="inlineStr">
        <is>
          <t xml:space="preserve">  Priority    - Regression checks are all High: they correspond to real, reproduced-and-fixed bugs this session.</t>
        </is>
      </c>
    </row>
    <row r="17">
      <c r="A17" s="3" t="inlineStr">
        <is>
          <t xml:space="preserve">  Actor       - Which demo persona should be logged in to run the step.</t>
        </is>
      </c>
    </row>
    <row r="18">
      <c r="A18" s="3" t="inlineStr">
        <is>
          <t xml:space="preserve">  Steps       - The concrete API action or UI flow to exercise.</t>
        </is>
      </c>
    </row>
    <row r="19">
      <c r="A19" s="3" t="inlineStr">
        <is>
          <t xml:space="preserve">  Expected    - The pass condition. Anything else is a fail.</t>
        </is>
      </c>
    </row>
    <row r="20">
      <c r="A20" s="3" t="inlineStr">
        <is>
          <t xml:space="preserve">  Status      - Leave blank until executed, then set to Pass / Fail / Blocked / Not Run (data-validated dropdown).</t>
        </is>
      </c>
    </row>
    <row r="21">
      <c r="A21" s="3" t="inlineStr"/>
    </row>
    <row r="22">
      <c r="A22" s="3" t="inlineStr">
        <is>
          <t>Color key used in the Test Cases tab:</t>
        </is>
      </c>
    </row>
    <row r="23">
      <c r="A23" s="3" t="inlineStr">
        <is>
          <t xml:space="preserve">  Green row   - Golden Path chain (run this section first; each step's output feeds the next).</t>
        </is>
      </c>
    </row>
    <row r="24">
      <c r="A24" s="3" t="inlineStr">
        <is>
          <t xml:space="preserve">  Amber row   - Regression check tied to a specific bug fixed this session (commit hash in Notes).</t>
        </is>
      </c>
    </row>
    <row r="25">
      <c r="A25" s="3" t="inlineStr">
        <is>
          <t xml:space="preserve">  Red row     - Negative / security / cross-cutting check.</t>
        </is>
      </c>
    </row>
    <row r="26">
      <c r="A26" s="3" t="inlineStr"/>
    </row>
    <row r="27">
      <c r="A27" s="3" t="inlineStr">
        <is>
          <t>Notes carried over from the original test plan:</t>
        </is>
      </c>
    </row>
    <row r="28">
      <c r="A28" s="3" t="inlineStr">
        <is>
          <t xml:space="preserve">  - Regression-check rows correspond to commits 8a41b90, 0c4ee5b, 1e7d90a, 1f9baf3, and the billing fixes in 0e3efa6.</t>
        </is>
      </c>
    </row>
    <row r="29">
      <c r="A29" s="3" t="inlineStr">
        <is>
          <t xml:space="preserve">    These represent silent data-integrity failures, not crashes - nothing errored before the fix; the workflow just</t>
        </is>
      </c>
    </row>
    <row r="30">
      <c r="A30" s="3" t="inlineStr">
        <is>
          <t xml:space="preserve">    silently skipped a safety step. Keep these at the top of priority for any future automated suite.</t>
        </is>
      </c>
    </row>
    <row r="31">
      <c r="A31" s="3" t="inlineStr">
        <is>
          <t xml:space="preserve">  - Catalog-dependent scenarios (Laboratory, Radiology, Pharmacy, Inpatient, Surgery) rely on the reference-data</t>
        </is>
      </c>
    </row>
    <row r="32">
      <c r="A32" s="3" t="inlineStr">
        <is>
          <t xml:space="preserve">    seeding done this session (scripts/seed_reference_catalogs.py, scripts/seed_medical_test_catalogs.py) - if run</t>
        </is>
      </c>
    </row>
    <row r="33">
      <c r="A33" s="3" t="inlineStr">
        <is>
          <t xml:space="preserve">    against a fresh/different database, run those scripts first or substitute equivalent local catalog entries.</t>
        </is>
      </c>
    </row>
    <row r="34">
      <c r="A34" s="3" t="inlineStr">
        <is>
          <t xml:space="preserve">  - Always clean up synthetic records created purely for testing afterward (or track them for</t>
        </is>
      </c>
    </row>
    <row r="35">
      <c r="A35" s="3" t="inlineStr">
        <is>
          <t xml:space="preserve">    scripts/cleanup_session_test_data.py-style removal) - never leave test data indistinguishable from real</t>
        </is>
      </c>
    </row>
    <row r="36">
      <c r="A36" s="3" t="inlineStr">
        <is>
          <t xml:space="preserve">    clinical/financial records in a database anyone else relies 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4" customWidth="1" min="4" max="4"/>
  </cols>
  <sheetData>
    <row r="1">
      <c r="A1" s="5" t="inlineStr">
        <is>
          <t>Role</t>
        </is>
      </c>
      <c r="B1" s="5" t="inlineStr">
        <is>
          <t>Username</t>
        </is>
      </c>
      <c r="C1" s="5" t="inlineStr">
        <is>
          <t>Password</t>
        </is>
      </c>
      <c r="D1" s="5" t="inlineStr">
        <is>
          <t>Default Landing Page</t>
        </is>
      </c>
    </row>
    <row r="2">
      <c r="A2" s="6" t="inlineStr">
        <is>
          <t>Front Desk</t>
        </is>
      </c>
      <c r="B2" s="6" t="inlineStr">
        <is>
          <t>demo_frontdesk1</t>
        </is>
      </c>
      <c r="C2" s="6" t="inlineStr">
        <is>
          <t>FrontDesk2026!</t>
        </is>
      </c>
      <c r="D2" s="6" t="inlineStr">
        <is>
          <t>/frontdesk</t>
        </is>
      </c>
    </row>
    <row r="3">
      <c r="A3" s="6" t="inlineStr">
        <is>
          <t>Physician</t>
        </is>
      </c>
      <c r="B3" s="6" t="inlineStr">
        <is>
          <t>demo_dr1</t>
        </is>
      </c>
      <c r="C3" s="6" t="inlineStr">
        <is>
          <t>Doctor2026!</t>
        </is>
      </c>
      <c r="D3" s="6" t="inlineStr">
        <is>
          <t>/physician</t>
        </is>
      </c>
    </row>
    <row r="4">
      <c r="A4" s="6" t="inlineStr">
        <is>
          <t>Nurse (Triage/Inpatient)</t>
        </is>
      </c>
      <c r="B4" s="6" t="inlineStr">
        <is>
          <t>demo_nurse1</t>
        </is>
      </c>
      <c r="C4" s="6" t="inlineStr">
        <is>
          <t>Nurse2026!</t>
        </is>
      </c>
      <c r="D4" s="6" t="inlineStr">
        <is>
          <t>/nursing</t>
        </is>
      </c>
    </row>
    <row r="5">
      <c r="A5" s="6" t="inlineStr">
        <is>
          <t>Cashier/Billing</t>
        </is>
      </c>
      <c r="B5" s="6" t="inlineStr">
        <is>
          <t>demo_cashier1</t>
        </is>
      </c>
      <c r="C5" s="6" t="inlineStr">
        <is>
          <t>Cashier2026!</t>
        </is>
      </c>
      <c r="D5" s="6" t="inlineStr">
        <is>
          <t>/billing</t>
        </is>
      </c>
    </row>
    <row r="6">
      <c r="A6" s="6" t="inlineStr">
        <is>
          <t>Lab Tech</t>
        </is>
      </c>
      <c r="B6" s="6" t="inlineStr">
        <is>
          <t>demo_lab1</t>
        </is>
      </c>
      <c r="C6" s="6" t="inlineStr">
        <is>
          <t>Lab2026!</t>
        </is>
      </c>
      <c r="D6" s="6" t="inlineStr">
        <is>
          <t>/laboratory</t>
        </is>
      </c>
    </row>
    <row r="7">
      <c r="A7" s="6" t="inlineStr">
        <is>
          <t>Radiology Tech</t>
        </is>
      </c>
      <c r="B7" s="6" t="inlineStr">
        <is>
          <t>demo_rad1</t>
        </is>
      </c>
      <c r="C7" s="6" t="inlineStr">
        <is>
          <t>Rad2026!</t>
        </is>
      </c>
      <c r="D7" s="6" t="inlineStr">
        <is>
          <t>/radiology</t>
        </is>
      </c>
    </row>
    <row r="8">
      <c r="A8" s="6" t="inlineStr">
        <is>
          <t>Admin</t>
        </is>
      </c>
      <c r="B8" s="6" t="inlineStr">
        <is>
          <t>demo_admin1</t>
        </is>
      </c>
      <c r="C8" s="6" t="inlineStr">
        <is>
          <t>DemoAdmin2026!</t>
        </is>
      </c>
      <c r="D8" s="6" t="inlineStr">
        <is>
          <t>/admin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" customWidth="1" min="3" max="3"/>
    <col width="22" customWidth="1" min="4" max="4"/>
    <col width="14" customWidth="1" min="5" max="5"/>
  </cols>
  <sheetData>
    <row r="1">
      <c r="A1" s="1" t="inlineStr">
        <is>
          <t>Test Execution Summary</t>
        </is>
      </c>
    </row>
    <row r="2">
      <c r="A2" s="2" t="inlineStr">
        <is>
          <t>All counts below are live formulas over the 'Test Cases' tab - update automatically as Status is filled in.</t>
        </is>
      </c>
    </row>
    <row r="4">
      <c r="A4" s="7" t="inlineStr">
        <is>
          <t>Overall</t>
        </is>
      </c>
      <c r="D4" s="7" t="inlineStr">
        <is>
          <t>By Module</t>
        </is>
      </c>
    </row>
    <row r="5">
      <c r="A5" s="8" t="inlineStr">
        <is>
          <t>Total Test Cases</t>
        </is>
      </c>
      <c r="B5" s="9">
        <f>COUNTA(TestCases[Test ID])</f>
        <v/>
      </c>
      <c r="D5" s="7" t="inlineStr">
        <is>
          <t>Module</t>
        </is>
      </c>
      <c r="E5" s="7" t="inlineStr">
        <is>
          <t>Count</t>
        </is>
      </c>
    </row>
    <row r="6">
      <c r="A6" s="8" t="inlineStr">
        <is>
          <t>Pass</t>
        </is>
      </c>
      <c r="B6" s="9">
        <f>COUNTIF(TestCases[Status],"Pass")</f>
        <v/>
      </c>
      <c r="D6" s="8" t="inlineStr">
        <is>
          <t>Golden Path</t>
        </is>
      </c>
      <c r="E6" s="9">
        <f>COUNTIF(TestCases[Module],D6)</f>
        <v/>
      </c>
    </row>
    <row r="7">
      <c r="A7" s="8" t="inlineStr">
        <is>
          <t>Fail</t>
        </is>
      </c>
      <c r="B7" s="9">
        <f>COUNTIF(TestCases[Status],"Fail")</f>
        <v/>
      </c>
      <c r="D7" s="8" t="inlineStr">
        <is>
          <t>Front Desk</t>
        </is>
      </c>
      <c r="E7" s="9">
        <f>COUNTIF(TestCases[Module],D7)</f>
        <v/>
      </c>
    </row>
    <row r="8">
      <c r="A8" s="8" t="inlineStr">
        <is>
          <t>Blocked</t>
        </is>
      </c>
      <c r="B8" s="9">
        <f>COUNTIF(TestCases[Status],"Blocked")</f>
        <v/>
      </c>
      <c r="D8" s="8" t="inlineStr">
        <is>
          <t>Physician</t>
        </is>
      </c>
      <c r="E8" s="9">
        <f>COUNTIF(TestCases[Module],D8)</f>
        <v/>
      </c>
    </row>
    <row r="9">
      <c r="A9" s="8" t="inlineStr">
        <is>
          <t>Not Run</t>
        </is>
      </c>
      <c r="B9" s="9">
        <f>COUNTIF(TestCases[Status],"Not Run")</f>
        <v/>
      </c>
      <c r="D9" s="8" t="inlineStr">
        <is>
          <t>Nursing / Triage</t>
        </is>
      </c>
      <c r="E9" s="9">
        <f>COUNTIF(TestCases[Module],D9)</f>
        <v/>
      </c>
    </row>
    <row r="10">
      <c r="D10" s="8" t="inlineStr">
        <is>
          <t>Laboratory</t>
        </is>
      </c>
      <c r="E10" s="9">
        <f>COUNTIF(TestCases[Module],D10)</f>
        <v/>
      </c>
    </row>
    <row r="11">
      <c r="A11" s="8" t="inlineStr">
        <is>
          <t>Regression Checks (High priority, tied to a fixed bug)</t>
        </is>
      </c>
      <c r="B11" s="9">
        <f>COUNTIF(TestCases[Notes / Reference],"Regression check*")</f>
        <v/>
      </c>
      <c r="D11" s="8" t="inlineStr">
        <is>
          <t>Radiology</t>
        </is>
      </c>
      <c r="E11" s="9">
        <f>COUNTIF(TestCases[Module],D11)</f>
        <v/>
      </c>
    </row>
    <row r="12">
      <c r="D12" s="8" t="inlineStr">
        <is>
          <t>Pharmacy</t>
        </is>
      </c>
      <c r="E12" s="9">
        <f>COUNTIF(TestCases[Module],D12)</f>
        <v/>
      </c>
    </row>
    <row r="13">
      <c r="D13" s="8" t="inlineStr">
        <is>
          <t>Inpatient</t>
        </is>
      </c>
      <c r="E13" s="9">
        <f>COUNTIF(TestCases[Module],D13)</f>
        <v/>
      </c>
    </row>
    <row r="14">
      <c r="D14" s="8" t="inlineStr">
        <is>
          <t>Surgical Suite</t>
        </is>
      </c>
      <c r="E14" s="9">
        <f>COUNTIF(TestCases[Module],D14)</f>
        <v/>
      </c>
    </row>
    <row r="15">
      <c r="D15" s="8" t="inlineStr">
        <is>
          <t>Billing</t>
        </is>
      </c>
      <c r="E15" s="9">
        <f>COUNTIF(TestCases[Module],D15)</f>
        <v/>
      </c>
    </row>
    <row r="16">
      <c r="D16" s="8" t="inlineStr">
        <is>
          <t>Insurance</t>
        </is>
      </c>
      <c r="E16" s="9">
        <f>COUNTIF(TestCases[Module],D16)</f>
        <v/>
      </c>
    </row>
    <row r="17">
      <c r="D17" s="8" t="inlineStr">
        <is>
          <t>Admin / RBAC</t>
        </is>
      </c>
      <c r="E17" s="9">
        <f>COUNTIF(TestCases[Module],D17)</f>
        <v/>
      </c>
    </row>
    <row r="18">
      <c r="D18" s="8" t="inlineStr">
        <is>
          <t>Cross-Cutting</t>
        </is>
      </c>
      <c r="E18" s="9">
        <f>COUNTIF(TestCases[Module],D18)</f>
        <v/>
      </c>
    </row>
    <row r="21">
      <c r="D21" s="7" t="inlineStr">
        <is>
          <t>By Priority</t>
        </is>
      </c>
    </row>
    <row r="22">
      <c r="D22" s="7" t="inlineStr">
        <is>
          <t>Priority</t>
        </is>
      </c>
      <c r="E22" s="7" t="inlineStr">
        <is>
          <t>Count</t>
        </is>
      </c>
    </row>
    <row r="23">
      <c r="D23" s="8" t="inlineStr">
        <is>
          <t>High</t>
        </is>
      </c>
      <c r="E23" s="9">
        <f>COUNTIF(TestCases[Priority],D23)</f>
        <v/>
      </c>
    </row>
    <row r="24">
      <c r="D24" s="8" t="inlineStr">
        <is>
          <t>Medium</t>
        </is>
      </c>
      <c r="E24" s="9">
        <f>COUNTIF(TestCases[Priority],D24)</f>
        <v/>
      </c>
    </row>
    <row r="25">
      <c r="D25" s="8" t="inlineStr">
        <is>
          <t>Low</t>
        </is>
      </c>
      <c r="E25" s="9">
        <f>COUNTIF(TestCases[Priority],D25)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14" customWidth="1" min="5" max="5"/>
    <col width="32" customWidth="1" min="6" max="6"/>
    <col width="40" customWidth="1" min="7" max="7"/>
    <col width="40" customWidth="1" min="8" max="8"/>
    <col width="12" customWidth="1" min="9" max="9"/>
    <col width="26" customWidth="1" min="10" max="10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Type</t>
        </is>
      </c>
      <c r="D1" s="5" t="inlineStr">
        <is>
          <t>Priority</t>
        </is>
      </c>
      <c r="E1" s="5" t="inlineStr">
        <is>
          <t>Actor</t>
        </is>
      </c>
      <c r="F1" s="5" t="inlineStr">
        <is>
          <t>Scenario</t>
        </is>
      </c>
      <c r="G1" s="5" t="inlineStr">
        <is>
          <t>Steps</t>
        </is>
      </c>
      <c r="H1" s="5" t="inlineStr">
        <is>
          <t>Expected Result</t>
        </is>
      </c>
      <c r="I1" s="5" t="inlineStr">
        <is>
          <t>Status</t>
        </is>
      </c>
      <c r="J1" s="5" t="inlineStr">
        <is>
          <t>Notes / Reference</t>
        </is>
      </c>
    </row>
    <row r="2">
      <c r="A2" s="10" t="inlineStr">
        <is>
          <t>TC-001</t>
        </is>
      </c>
      <c r="B2" s="11" t="inlineStr">
        <is>
          <t>Golden Path</t>
        </is>
      </c>
      <c r="C2" s="11" t="inlineStr">
        <is>
          <t>Golden Path</t>
        </is>
      </c>
      <c r="D2" s="11" t="inlineStr">
        <is>
          <t>High</t>
        </is>
      </c>
      <c r="E2" s="11" t="inlineStr">
        <is>
          <t>Front Desk</t>
        </is>
      </c>
      <c r="F2" s="11" t="inlineStr">
        <is>
          <t>1. Register patient</t>
        </is>
      </c>
      <c r="G2" s="11" t="inlineStr">
        <is>
          <t>POST /api/clinical/patients with name, QID, DOB, gender, blood type</t>
        </is>
      </c>
      <c r="H2" s="11" t="inlineStr">
        <is>
          <t>Response includes bloodGroup with BOTH the ABO letter and Rh sign (e.g. O-), not just the letter</t>
        </is>
      </c>
      <c r="I2" s="11" t="inlineStr">
        <is>
          <t>Not Run</t>
        </is>
      </c>
      <c r="J2" s="11" t="inlineStr">
        <is>
          <t>Regression check - Rh factor fix</t>
        </is>
      </c>
    </row>
    <row r="3">
      <c r="A3" s="10" t="inlineStr">
        <is>
          <t>TC-002</t>
        </is>
      </c>
      <c r="B3" s="11" t="inlineStr">
        <is>
          <t>Golden Path</t>
        </is>
      </c>
      <c r="C3" s="11" t="inlineStr">
        <is>
          <t>Golden Path</t>
        </is>
      </c>
      <c r="D3" s="11" t="inlineStr">
        <is>
          <t>High</t>
        </is>
      </c>
      <c r="E3" s="11" t="inlineStr">
        <is>
          <t>Front Desk</t>
        </is>
      </c>
      <c r="F3" s="11" t="inlineStr">
        <is>
          <t>2. Book appointment</t>
        </is>
      </c>
      <c r="G3" s="11" t="inlineStr">
        <is>
          <t>POST /api/clinical/appointments, action:"book" for the new patient</t>
        </is>
      </c>
      <c r="H3" s="11" t="inlineStr">
        <is>
          <t>Appointment created and linked to the patient</t>
        </is>
      </c>
      <c r="I3" s="11" t="inlineStr">
        <is>
          <t>Not Run</t>
        </is>
      </c>
      <c r="J3" s="11" t="inlineStr"/>
    </row>
    <row r="4">
      <c r="A4" s="10" t="inlineStr">
        <is>
          <t>TC-003</t>
        </is>
      </c>
      <c r="B4" s="11" t="inlineStr">
        <is>
          <t>Golden Path</t>
        </is>
      </c>
      <c r="C4" s="11" t="inlineStr">
        <is>
          <t>Golden Path</t>
        </is>
      </c>
      <c r="D4" s="11" t="inlineStr">
        <is>
          <t>High</t>
        </is>
      </c>
      <c r="E4" s="11" t="inlineStr">
        <is>
          <t>Front Desk</t>
        </is>
      </c>
      <c r="F4" s="11" t="inlineStr">
        <is>
          <t>3. Check in patient</t>
        </is>
      </c>
      <c r="G4" s="11" t="inlineStr">
        <is>
          <t>POST /api/clinical/appointments, action:"checkin"</t>
        </is>
      </c>
      <c r="H4" s="11" t="inlineStr">
        <is>
          <t>Appointment moves to Arrival Roster. Roster is appointment-driven: a patient with NO appointment booked correctly does NOT appear here even though they exist in the Master Patient Registry - by design, not a bug</t>
        </is>
      </c>
      <c r="I4" s="11" t="inlineStr">
        <is>
          <t>Not Run</t>
        </is>
      </c>
      <c r="J4" s="11" t="inlineStr"/>
    </row>
    <row r="5">
      <c r="A5" s="10" t="inlineStr">
        <is>
          <t>TC-004</t>
        </is>
      </c>
      <c r="B5" s="11" t="inlineStr">
        <is>
          <t>Golden Path</t>
        </is>
      </c>
      <c r="C5" s="11" t="inlineStr">
        <is>
          <t>Golden Path</t>
        </is>
      </c>
      <c r="D5" s="11" t="inlineStr">
        <is>
          <t>High</t>
        </is>
      </c>
      <c r="E5" s="11" t="inlineStr">
        <is>
          <t>Nurse</t>
        </is>
      </c>
      <c r="F5" s="11" t="inlineStr">
        <is>
          <t>4. Record triage vitals</t>
        </is>
      </c>
      <c r="G5" s="11" t="inlineStr">
        <is>
          <t>POST /api/clinical/triage with BP, HR, temp, SpO2, chief complaint - submit twice in a row for the same patient</t>
        </is>
      </c>
      <c r="H5" s="11" t="inlineStr">
        <is>
          <t>Both submissions update the SAME in_progress evaluation, not a second orphaned one</t>
        </is>
      </c>
      <c r="I5" s="11" t="inlineStr">
        <is>
          <t>Not Run</t>
        </is>
      </c>
      <c r="J5" s="11" t="inlineStr"/>
    </row>
    <row r="6">
      <c r="A6" s="10" t="inlineStr">
        <is>
          <t>TC-005</t>
        </is>
      </c>
      <c r="B6" s="11" t="inlineStr">
        <is>
          <t>Golden Path</t>
        </is>
      </c>
      <c r="C6" s="11" t="inlineStr">
        <is>
          <t>Golden Path</t>
        </is>
      </c>
      <c r="D6" s="11" t="inlineStr">
        <is>
          <t>High</t>
        </is>
      </c>
      <c r="E6" s="11" t="inlineStr">
        <is>
          <t>Physician</t>
        </is>
      </c>
      <c r="F6" s="11" t="inlineStr">
        <is>
          <t>5. Physician consultation</t>
        </is>
      </c>
      <c r="G6" s="11" t="inlineStr">
        <is>
          <t>POST /api/clinical/consultations with SOAP notes, ICD-10 diagnosis, order a lab test, order an imaging study, mark completed:true</t>
        </is>
      </c>
      <c r="H6" s="11" t="inlineStr">
        <is>
          <t>Lab order returns a NON-EMPTY criteria array matching the test type's analyte template; imaging order created successfully</t>
        </is>
      </c>
      <c r="I6" s="11" t="inlineStr">
        <is>
          <t>Not Run</t>
        </is>
      </c>
      <c r="J6" s="11" t="inlineStr">
        <is>
          <t>Regression check - complete_criteareas fix / imaging catalog expansion</t>
        </is>
      </c>
    </row>
    <row r="7">
      <c r="A7" s="10" t="inlineStr">
        <is>
          <t>TC-006</t>
        </is>
      </c>
      <c r="B7" s="11" t="inlineStr">
        <is>
          <t>Golden Path</t>
        </is>
      </c>
      <c r="C7" s="11" t="inlineStr">
        <is>
          <t>Golden Path</t>
        </is>
      </c>
      <c r="D7" s="11" t="inlineStr">
        <is>
          <t>High</t>
        </is>
      </c>
      <c r="E7" s="11" t="inlineStr">
        <is>
          <t>Physician</t>
        </is>
      </c>
      <c r="F7" s="11" t="inlineStr">
        <is>
          <t>6. Prescribe medication</t>
        </is>
      </c>
      <c r="G7" s="11" t="inlineStr">
        <is>
          <t>POST /api/clinical/prescriptions, default create path</t>
        </is>
      </c>
      <c r="H7" s="11" t="inlineStr">
        <is>
          <t>Response state is "draft", NOT "done"</t>
        </is>
      </c>
      <c r="I7" s="11" t="inlineStr">
        <is>
          <t>Not Run</t>
        </is>
      </c>
      <c r="J7" s="11" t="inlineStr">
        <is>
          <t>Regression check - auto-dispense fix (8a41b90)</t>
        </is>
      </c>
    </row>
    <row r="8">
      <c r="A8" s="10" t="inlineStr">
        <is>
          <t>TC-007</t>
        </is>
      </c>
      <c r="B8" s="11" t="inlineStr">
        <is>
          <t>Golden Path</t>
        </is>
      </c>
      <c r="C8" s="11" t="inlineStr">
        <is>
          <t>Golden Path</t>
        </is>
      </c>
      <c r="D8" s="11" t="inlineStr">
        <is>
          <t>High</t>
        </is>
      </c>
      <c r="E8" s="11" t="inlineStr">
        <is>
          <t>Lab Tech</t>
        </is>
      </c>
      <c r="F8" s="11" t="inlineStr">
        <is>
          <t>7. Lab result entry</t>
        </is>
      </c>
      <c r="G8" s="11" t="inlineStr">
        <is>
          <t>POST /api/clinical/laboratory, action:"save-results" (enter a result for every analyte) then action:"complete"</t>
        </is>
      </c>
      <c r="H8" s="11" t="inlineStr">
        <is>
          <t>save-results succeeds on the FIRST try, proving criteria were actually populated on order creation</t>
        </is>
      </c>
      <c r="I8" s="11" t="inlineStr">
        <is>
          <t>Not Run</t>
        </is>
      </c>
      <c r="J8" s="11" t="inlineStr">
        <is>
          <t>Regression check (0c4ee5b)</t>
        </is>
      </c>
    </row>
    <row r="9">
      <c r="A9" s="10" t="inlineStr">
        <is>
          <t>TC-008</t>
        </is>
      </c>
      <c r="B9" s="11" t="inlineStr">
        <is>
          <t>Golden Path</t>
        </is>
      </c>
      <c r="C9" s="11" t="inlineStr">
        <is>
          <t>Golden Path</t>
        </is>
      </c>
      <c r="D9" s="11" t="inlineStr">
        <is>
          <t>High</t>
        </is>
      </c>
      <c r="E9" s="11" t="inlineStr">
        <is>
          <t>Radiology Tech</t>
        </is>
      </c>
      <c r="F9" s="11" t="inlineStr">
        <is>
          <t>8. Radiology finding</t>
        </is>
      </c>
      <c r="G9" s="11" t="inlineStr">
        <is>
          <t>POST /api/clinical/radiology, action:"finalize" with findings text</t>
        </is>
      </c>
      <c r="H9" s="11" t="inlineStr">
        <is>
          <t>Order flips to state "done" with findings persisted</t>
        </is>
      </c>
      <c r="I9" s="11" t="inlineStr">
        <is>
          <t>Not Run</t>
        </is>
      </c>
      <c r="J9" s="11" t="inlineStr"/>
    </row>
    <row r="10">
      <c r="A10" s="10" t="inlineStr">
        <is>
          <t>TC-009</t>
        </is>
      </c>
      <c r="B10" s="11" t="inlineStr">
        <is>
          <t>Golden Path</t>
        </is>
      </c>
      <c r="C10" s="11" t="inlineStr">
        <is>
          <t>Golden Path</t>
        </is>
      </c>
      <c r="D10" s="11" t="inlineStr">
        <is>
          <t>High</t>
        </is>
      </c>
      <c r="E10" s="11" t="inlineStr">
        <is>
          <t>Pharmacy/Cashier</t>
        </is>
      </c>
      <c r="F10" s="11" t="inlineStr">
        <is>
          <t>9. Pharmacy dispense</t>
        </is>
      </c>
      <c r="G10" s="11" t="inlineStr">
        <is>
          <t>POST /api/clinical/pharmacy to dispense the prescription</t>
        </is>
      </c>
      <c r="H10" s="11" t="inlineStr">
        <is>
          <t>Prescription shows Pending Verification (state:"draft") BEFORE this step; after dispensing, shows Dispensed (state:"done")</t>
        </is>
      </c>
      <c r="I10" s="11" t="inlineStr">
        <is>
          <t>Not Run</t>
        </is>
      </c>
      <c r="J10" s="11" t="inlineStr">
        <is>
          <t>Regression check - auto-dispense fix (8a41b90)</t>
        </is>
      </c>
    </row>
    <row r="11">
      <c r="A11" s="10" t="inlineStr">
        <is>
          <t>TC-010</t>
        </is>
      </c>
      <c r="B11" s="11" t="inlineStr">
        <is>
          <t>Golden Path</t>
        </is>
      </c>
      <c r="C11" s="11" t="inlineStr">
        <is>
          <t>Golden Path</t>
        </is>
      </c>
      <c r="D11" s="11" t="inlineStr">
        <is>
          <t>High</t>
        </is>
      </c>
      <c r="E11" s="11" t="inlineStr">
        <is>
          <t>Cashier</t>
        </is>
      </c>
      <c r="F11" s="11" t="inlineStr">
        <is>
          <t>10. Billing</t>
        </is>
      </c>
      <c r="G11" s="11" t="inlineStr">
        <is>
          <t>POST /api/clinical/billing action:"create" with lines for consultation + lab + imaging, then action:"post", then action:"pay"</t>
        </is>
      </c>
      <c r="H11" s="11" t="inlineStr">
        <is>
          <t>Each step uses GNU Health's real workflow action (post/pay wizards), not a raw state write. Invoice has a real number (INV-2026/000xx) and amountToPay: 0 after payment</t>
        </is>
      </c>
      <c r="I11" s="11" t="inlineStr">
        <is>
          <t>Not Run</t>
        </is>
      </c>
      <c r="J11" s="11" t="inlineStr">
        <is>
          <t>Verifies 0e3efa6 multi-line fix too</t>
        </is>
      </c>
    </row>
    <row r="12">
      <c r="A12" s="12" t="inlineStr">
        <is>
          <t>TC-011</t>
        </is>
      </c>
      <c r="B12" s="6" t="inlineStr">
        <is>
          <t>Front Desk</t>
        </is>
      </c>
      <c r="C12" s="6" t="inlineStr">
        <is>
          <t>Functional</t>
        </is>
      </c>
      <c r="D12" s="6" t="inlineStr">
        <is>
          <t>Medium</t>
        </is>
      </c>
      <c r="E12" s="6" t="inlineStr">
        <is>
          <t>Front Desk</t>
        </is>
      </c>
      <c r="F12" s="6" t="inlineStr">
        <is>
          <t>Reject duplicate QID registration</t>
        </is>
      </c>
      <c r="G12" s="6" t="inlineStr">
        <is>
          <t>Register a patient with a QID that already exists</t>
        </is>
      </c>
      <c r="H12" s="6" t="inlineStr">
        <is>
          <t>409 response with isDuplicate:true; no duplicate record created</t>
        </is>
      </c>
      <c r="I12" s="6" t="inlineStr">
        <is>
          <t>Not Run</t>
        </is>
      </c>
      <c r="J12" s="6" t="inlineStr"/>
    </row>
    <row r="13">
      <c r="A13" s="12" t="inlineStr">
        <is>
          <t>TC-012</t>
        </is>
      </c>
      <c r="B13" s="6" t="inlineStr">
        <is>
          <t>Front Desk</t>
        </is>
      </c>
      <c r="C13" s="6" t="inlineStr">
        <is>
          <t>Functional</t>
        </is>
      </c>
      <c r="D13" s="6" t="inlineStr">
        <is>
          <t>Medium</t>
        </is>
      </c>
      <c r="E13" s="6" t="inlineStr">
        <is>
          <t>Front Desk</t>
        </is>
      </c>
      <c r="F13" s="6" t="inlineStr">
        <is>
          <t>Reject invalid gender code</t>
        </is>
      </c>
      <c r="G13" s="6" t="inlineStr">
        <is>
          <t>Register a patient with an invalid gender code</t>
        </is>
      </c>
      <c r="H13" s="6" t="inlineStr">
        <is>
          <t>400 response</t>
        </is>
      </c>
      <c r="I13" s="6" t="inlineStr">
        <is>
          <t>Not Run</t>
        </is>
      </c>
      <c r="J13" s="6" t="inlineStr"/>
    </row>
    <row r="14">
      <c r="A14" s="12" t="inlineStr">
        <is>
          <t>TC-013</t>
        </is>
      </c>
      <c r="B14" s="6" t="inlineStr">
        <is>
          <t>Front Desk</t>
        </is>
      </c>
      <c r="C14" s="6" t="inlineStr">
        <is>
          <t>Functional</t>
        </is>
      </c>
      <c r="D14" s="6" t="inlineStr">
        <is>
          <t>Medium</t>
        </is>
      </c>
      <c r="E14" s="6" t="inlineStr">
        <is>
          <t>Front Desk</t>
        </is>
      </c>
      <c r="F14" s="6" t="inlineStr">
        <is>
          <t>Resolve PUID-length id pasted elsewhere</t>
        </is>
      </c>
      <c r="G14" s="6" t="inlineStr">
        <is>
          <t>Paste a PUID-length QID into a "patient ID" field elsewhere (e.g. surgery booking)</t>
        </is>
      </c>
      <c r="H14" s="6" t="inlineStr">
        <is>
          <t>Resolves by PUID lookup, does not overflow as a raw integer id</t>
        </is>
      </c>
      <c r="I14" s="6" t="inlineStr">
        <is>
          <t>Not Run</t>
        </is>
      </c>
      <c r="J14" s="6" t="inlineStr"/>
    </row>
    <row r="15">
      <c r="A15" s="12" t="inlineStr">
        <is>
          <t>TC-014</t>
        </is>
      </c>
      <c r="B15" s="6" t="inlineStr">
        <is>
          <t>Front Desk</t>
        </is>
      </c>
      <c r="C15" s="6" t="inlineStr">
        <is>
          <t>Functional</t>
        </is>
      </c>
      <c r="D15" s="6" t="inlineStr">
        <is>
          <t>Medium</t>
        </is>
      </c>
      <c r="E15" s="6" t="inlineStr">
        <is>
          <t>Front Desk</t>
        </is>
      </c>
      <c r="F15" s="6" t="inlineStr">
        <is>
          <t>Search patient registry</t>
        </is>
      </c>
      <c r="G15" s="6" t="inlineStr">
        <is>
          <t>GET /api/clinical/patients?q=... by partial name and by PUID</t>
        </is>
      </c>
      <c r="H15" s="6" t="inlineStr">
        <is>
          <t>Correct matching patients returned for both search modes</t>
        </is>
      </c>
      <c r="I15" s="6" t="inlineStr">
        <is>
          <t>Not Run</t>
        </is>
      </c>
      <c r="J15" s="6" t="inlineStr"/>
    </row>
    <row r="16">
      <c r="A16" s="12" t="inlineStr">
        <is>
          <t>TC-015</t>
        </is>
      </c>
      <c r="B16" s="6" t="inlineStr">
        <is>
          <t>Front Desk</t>
        </is>
      </c>
      <c r="C16" s="6" t="inlineStr">
        <is>
          <t>Functional</t>
        </is>
      </c>
      <c r="D16" s="6" t="inlineStr">
        <is>
          <t>Medium</t>
        </is>
      </c>
      <c r="E16" s="6" t="inlineStr">
        <is>
          <t>Front Desk</t>
        </is>
      </c>
      <c r="F16" s="6" t="inlineStr">
        <is>
          <t>Restricted allergy/condition history</t>
        </is>
      </c>
      <c r="G16" s="6" t="inlineStr">
        <is>
          <t>View a patient's chart as a front-desk role</t>
        </is>
      </c>
      <c r="H16" s="6" t="inlineStr">
        <is>
          <t>allergiesRestricted:true, no clinical content leaks; a role-appropriate message, not a generic failure</t>
        </is>
      </c>
      <c r="I16" s="6" t="inlineStr">
        <is>
          <t>Not Run</t>
        </is>
      </c>
      <c r="J16" s="6" t="inlineStr"/>
    </row>
    <row r="17">
      <c r="A17" s="12" t="inlineStr">
        <is>
          <t>TC-016</t>
        </is>
      </c>
      <c r="B17" s="6" t="inlineStr">
        <is>
          <t>Front Desk</t>
        </is>
      </c>
      <c r="C17" s="6" t="inlineStr">
        <is>
          <t>Functional</t>
        </is>
      </c>
      <c r="D17" s="6" t="inlineStr">
        <is>
          <t>Medium</t>
        </is>
      </c>
      <c r="E17" s="6" t="inlineStr">
        <is>
          <t>Front Desk</t>
        </is>
      </c>
      <c r="F17" s="6" t="inlineStr">
        <is>
          <t>Reject invalid appointment time</t>
        </is>
      </c>
      <c r="G17" s="6" t="inlineStr">
        <is>
          <t>Book an appointment with an invalid time format</t>
        </is>
      </c>
      <c r="H17" s="6" t="inlineStr">
        <is>
          <t>400 response</t>
        </is>
      </c>
      <c r="I17" s="6" t="inlineStr">
        <is>
          <t>Not Run</t>
        </is>
      </c>
      <c r="J17" s="6" t="inlineStr"/>
    </row>
    <row r="18">
      <c r="A18" s="12" t="inlineStr">
        <is>
          <t>TC-017</t>
        </is>
      </c>
      <c r="B18" s="6" t="inlineStr">
        <is>
          <t>Front Desk</t>
        </is>
      </c>
      <c r="C18" s="6" t="inlineStr">
        <is>
          <t>Functional</t>
        </is>
      </c>
      <c r="D18" s="6" t="inlineStr">
        <is>
          <t>Medium</t>
        </is>
      </c>
      <c r="E18" s="6" t="inlineStr">
        <is>
          <t>Front Desk</t>
        </is>
      </c>
      <c r="F18" s="6" t="inlineStr">
        <is>
          <t>Double-book same appointment slot</t>
        </is>
      </c>
      <c r="G18" s="6" t="inlineStr">
        <is>
          <t>Submit the exact same appointment slot twice quickly</t>
        </is>
      </c>
      <c r="H18" s="6" t="inlineStr">
        <is>
          <t>Behavior is sane - GNU Health has no native overlap check for appointments, so either both book as separate legitimate appointments or it's rejected; informational, not a required-fail scenario</t>
        </is>
      </c>
      <c r="I18" s="6" t="inlineStr">
        <is>
          <t>Not Run</t>
        </is>
      </c>
      <c r="J18" s="6" t="inlineStr"/>
    </row>
    <row r="19">
      <c r="A19" s="12" t="inlineStr">
        <is>
          <t>TC-018</t>
        </is>
      </c>
      <c r="B19" s="6" t="inlineStr">
        <is>
          <t>Physician</t>
        </is>
      </c>
      <c r="C19" s="6" t="inlineStr">
        <is>
          <t>Functional</t>
        </is>
      </c>
      <c r="D19" s="6" t="inlineStr">
        <is>
          <t>High</t>
        </is>
      </c>
      <c r="E19" s="6" t="inlineStr">
        <is>
          <t>Physician</t>
        </is>
      </c>
      <c r="F19" s="6" t="inlineStr">
        <is>
          <t>Resume in-progress evaluation</t>
        </is>
      </c>
      <c r="G19" s="6" t="inlineStr">
        <is>
          <t>Save clinical notes without completed:true, then reopen and save again</t>
        </is>
      </c>
      <c r="H19" s="6" t="inlineStr">
        <is>
          <t>Evaluation stays in_progress and the SAME evaluation is updated, not a second one created</t>
        </is>
      </c>
      <c r="I19" s="6" t="inlineStr">
        <is>
          <t>Not Run</t>
        </is>
      </c>
      <c r="J19" s="6" t="inlineStr"/>
    </row>
    <row r="20">
      <c r="A20" s="12" t="inlineStr">
        <is>
          <t>TC-019</t>
        </is>
      </c>
      <c r="B20" s="6" t="inlineStr">
        <is>
          <t>Physician</t>
        </is>
      </c>
      <c r="C20" s="6" t="inlineStr">
        <is>
          <t>Functional</t>
        </is>
      </c>
      <c r="D20" s="6" t="inlineStr">
        <is>
          <t>High</t>
        </is>
      </c>
      <c r="E20" s="6" t="inlineStr">
        <is>
          <t>Physician</t>
        </is>
      </c>
      <c r="F20" s="6" t="inlineStr">
        <is>
          <t>Reject double-completion</t>
        </is>
      </c>
      <c r="G20" s="6" t="inlineStr">
        <is>
          <t>Complete an evaluation twice (call again after state:"done")</t>
        </is>
      </c>
      <c r="H20" s="6" t="inlineStr">
        <is>
          <t>409 rejected - "already complete and cannot be edited"</t>
        </is>
      </c>
      <c r="I20" s="6" t="inlineStr">
        <is>
          <t>Not Run</t>
        </is>
      </c>
      <c r="J20" s="6" t="inlineStr"/>
    </row>
    <row r="21">
      <c r="A21" s="12" t="inlineStr">
        <is>
          <t>TC-020</t>
        </is>
      </c>
      <c r="B21" s="6" t="inlineStr">
        <is>
          <t>Physician</t>
        </is>
      </c>
      <c r="C21" s="6" t="inlineStr">
        <is>
          <t>Functional</t>
        </is>
      </c>
      <c r="D21" s="6" t="inlineStr">
        <is>
          <t>High</t>
        </is>
      </c>
      <c r="E21" s="6" t="inlineStr">
        <is>
          <t>Physician</t>
        </is>
      </c>
      <c r="F21" s="6" t="inlineStr">
        <is>
          <t>Order lab + imaging together</t>
        </is>
      </c>
      <c r="G21" s="6" t="inlineStr">
        <is>
          <t>Order a lab test AND an imaging study in the same consultation call</t>
        </is>
      </c>
      <c r="H21" s="6" t="inlineStr">
        <is>
          <t>Both labOrderId and radiologyOrderId populated and independently valid</t>
        </is>
      </c>
      <c r="I21" s="6" t="inlineStr">
        <is>
          <t>Not Run</t>
        </is>
      </c>
      <c r="J21" s="6" t="inlineStr"/>
    </row>
    <row r="22">
      <c r="A22" s="12" t="inlineStr">
        <is>
          <t>TC-021</t>
        </is>
      </c>
      <c r="B22" s="6" t="inlineStr">
        <is>
          <t>Physician</t>
        </is>
      </c>
      <c r="C22" s="6" t="inlineStr">
        <is>
          <t>Functional</t>
        </is>
      </c>
      <c r="D22" s="6" t="inlineStr">
        <is>
          <t>High</t>
        </is>
      </c>
      <c r="E22" s="6" t="inlineStr">
        <is>
          <t>Physician</t>
        </is>
      </c>
      <c r="F22" s="6" t="inlineStr">
        <is>
          <t>Reject invalid lab test name</t>
        </is>
      </c>
      <c r="G22" s="6" t="inlineStr">
        <is>
          <t>Order a lab test with an invalid/unknown test name</t>
        </is>
      </c>
      <c r="H22" s="6" t="inlineStr">
        <is>
          <t>400 with a clear error; the evaluation itself is still saved (partial-failure messaging, not a silent full rollback)</t>
        </is>
      </c>
      <c r="I22" s="6" t="inlineStr">
        <is>
          <t>Not Run</t>
        </is>
      </c>
      <c r="J22" s="6" t="inlineStr"/>
    </row>
    <row r="23">
      <c r="A23" s="12" t="inlineStr">
        <is>
          <t>TC-022</t>
        </is>
      </c>
      <c r="B23" s="6" t="inlineStr">
        <is>
          <t>Physician</t>
        </is>
      </c>
      <c r="C23" s="6" t="inlineStr">
        <is>
          <t>Functional</t>
        </is>
      </c>
      <c r="D23" s="6" t="inlineStr">
        <is>
          <t>High</t>
        </is>
      </c>
      <c r="E23" s="6" t="inlineStr">
        <is>
          <t>Physician</t>
        </is>
      </c>
      <c r="F23" s="6" t="inlineStr">
        <is>
          <t>Formulary fallback on vaccine/controlled search</t>
        </is>
      </c>
      <c r="G23" s="6" t="inlineStr">
        <is>
          <t>Prescribe with a controlled/vaccine-only search term with no exact match</t>
        </is>
      </c>
      <c r="H23" s="6" t="inlineStr">
        <is>
          <t>Formulary resolution falls back sensibly rather than failing silently</t>
        </is>
      </c>
      <c r="I23" s="6" t="inlineStr">
        <is>
          <t>Not Run</t>
        </is>
      </c>
      <c r="J23" s="6" t="inlineStr"/>
    </row>
    <row r="24">
      <c r="A24" s="12" t="inlineStr">
        <is>
          <t>TC-023</t>
        </is>
      </c>
      <c r="B24" s="6" t="inlineStr">
        <is>
          <t>Physician</t>
        </is>
      </c>
      <c r="C24" s="6" t="inlineStr">
        <is>
          <t>Functional</t>
        </is>
      </c>
      <c r="D24" s="6" t="inlineStr">
        <is>
          <t>High</t>
        </is>
      </c>
      <c r="E24" s="6" t="inlineStr">
        <is>
          <t>Physician</t>
        </is>
      </c>
      <c r="F24" s="6" t="inlineStr">
        <is>
          <t>Pregnancy/allergy prescribing safety gate</t>
        </is>
      </c>
      <c r="G24" s="6" t="inlineStr">
        <is>
          <t>Prescribe with acknowledgeWarnings unset for a patient flagged crit_allergic or childbearing_age</t>
        </is>
      </c>
      <c r="H24" s="6" t="inlineStr">
        <is>
          <t>The safety gate actually blocks or warns as designed</t>
        </is>
      </c>
      <c r="I24" s="6" t="inlineStr">
        <is>
          <t>Not Run</t>
        </is>
      </c>
      <c r="J24" s="6" t="inlineStr"/>
    </row>
    <row r="25">
      <c r="A25" s="12" t="inlineStr">
        <is>
          <t>TC-024</t>
        </is>
      </c>
      <c r="B25" s="6" t="inlineStr">
        <is>
          <t>Nursing / Triage</t>
        </is>
      </c>
      <c r="C25" s="6" t="inlineStr">
        <is>
          <t>Functional</t>
        </is>
      </c>
      <c r="D25" s="6" t="inlineStr">
        <is>
          <t>Medium</t>
        </is>
      </c>
      <c r="E25" s="6" t="inlineStr">
        <is>
          <t>Nurse</t>
        </is>
      </c>
      <c r="F25" s="6" t="inlineStr">
        <is>
          <t>New evaluation on first vitals</t>
        </is>
      </c>
      <c r="G25" s="6" t="inlineStr">
        <is>
          <t>Record vitals for a patient with no prior evaluation today</t>
        </is>
      </c>
      <c r="H25" s="6" t="inlineStr">
        <is>
          <t>Creates a new in_progress evaluation</t>
        </is>
      </c>
      <c r="I25" s="6" t="inlineStr">
        <is>
          <t>Not Run</t>
        </is>
      </c>
      <c r="J25" s="6" t="inlineStr"/>
    </row>
    <row r="26">
      <c r="A26" s="12" t="inlineStr">
        <is>
          <t>TC-025</t>
        </is>
      </c>
      <c r="B26" s="6" t="inlineStr">
        <is>
          <t>Nursing / Triage</t>
        </is>
      </c>
      <c r="C26" s="6" t="inlineStr">
        <is>
          <t>Functional</t>
        </is>
      </c>
      <c r="D26" s="6" t="inlineStr">
        <is>
          <t>Medium</t>
        </is>
      </c>
      <c r="E26" s="6" t="inlineStr">
        <is>
          <t>Nurse</t>
        </is>
      </c>
      <c r="F26" s="6" t="inlineStr">
        <is>
          <t>Resume evaluation on repeat vitals</t>
        </is>
      </c>
      <c r="G26" s="6" t="inlineStr">
        <is>
          <t>Record vitals again the same day for the same patient</t>
        </is>
      </c>
      <c r="H26" s="6" t="inlineStr">
        <is>
          <t>Resumes the same evaluation - no duplicate created</t>
        </is>
      </c>
      <c r="I26" s="6" t="inlineStr">
        <is>
          <t>Not Run</t>
        </is>
      </c>
      <c r="J26" s="6" t="inlineStr"/>
    </row>
    <row r="27">
      <c r="A27" s="13" t="inlineStr">
        <is>
          <t>TC-026</t>
        </is>
      </c>
      <c r="B27" s="14" t="inlineStr">
        <is>
          <t>Nursing / Triage</t>
        </is>
      </c>
      <c r="C27" s="14" t="inlineStr">
        <is>
          <t>Functional</t>
        </is>
      </c>
      <c r="D27" s="14" t="inlineStr">
        <is>
          <t>Medium</t>
        </is>
      </c>
      <c r="E27" s="14" t="inlineStr">
        <is>
          <t>Nurse</t>
        </is>
      </c>
      <c r="F27" s="14" t="inlineStr">
        <is>
          <t>UTC datetime handling</t>
        </is>
      </c>
      <c r="G27" s="14" t="inlineStr">
        <is>
          <t>Submit an evaluation timestamp scenario across a non-UTC server clock</t>
        </is>
      </c>
      <c r="H27" s="14" t="inlineStr">
        <is>
          <t>No false "end time before start" rejection</t>
        </is>
      </c>
      <c r="I27" s="14" t="inlineStr">
        <is>
          <t>Not Run</t>
        </is>
      </c>
      <c r="J27" s="14" t="inlineStr">
        <is>
          <t>Regression check - UTC-datetime fix</t>
        </is>
      </c>
    </row>
    <row r="28">
      <c r="A28" s="12" t="inlineStr">
        <is>
          <t>TC-027</t>
        </is>
      </c>
      <c r="B28" s="6" t="inlineStr">
        <is>
          <t>Laboratory</t>
        </is>
      </c>
      <c r="C28" s="6" t="inlineStr">
        <is>
          <t>Functional</t>
        </is>
      </c>
      <c r="D28" s="6" t="inlineStr">
        <is>
          <t>High</t>
        </is>
      </c>
      <c r="E28" s="6" t="inlineStr">
        <is>
          <t>Lab Tech</t>
        </is>
      </c>
      <c r="F28" s="6" t="inlineStr">
        <is>
          <t>Round-trip all 13 lab panels</t>
        </is>
      </c>
      <c r="G28" s="6" t="inlineStr">
        <is>
          <t>Order and process one case from each of the 13 lab panels (9 original + Lipid Profile, Thyroid Function, Glycemic Profile, Coagulation Profile)</t>
        </is>
      </c>
      <c r="H28" s="6" t="inlineStr">
        <is>
          <t>Every panel's criteria template round-trips through save-results -&gt; complete successfully</t>
        </is>
      </c>
      <c r="I28" s="6" t="inlineStr">
        <is>
          <t>Not Run</t>
        </is>
      </c>
      <c r="J28" s="6" t="inlineStr">
        <is>
          <t>Verifies seed_medical_test_catalogs.py</t>
        </is>
      </c>
    </row>
    <row r="29">
      <c r="A29" s="12" t="inlineStr">
        <is>
          <t>TC-028</t>
        </is>
      </c>
      <c r="B29" s="6" t="inlineStr">
        <is>
          <t>Laboratory</t>
        </is>
      </c>
      <c r="C29" s="6" t="inlineStr">
        <is>
          <t>Functional</t>
        </is>
      </c>
      <c r="D29" s="6" t="inlineStr">
        <is>
          <t>High</t>
        </is>
      </c>
      <c r="E29" s="6" t="inlineStr">
        <is>
          <t>Lab Tech</t>
        </is>
      </c>
      <c r="F29" s="6" t="inlineStr">
        <is>
          <t>Reject mismatched analyte submission</t>
        </is>
      </c>
      <c r="G29" s="6" t="inlineStr">
        <is>
          <t>Attempt save-results with a tampered submitted-id list that doesn't exactly match the order's native criteria</t>
        </is>
      </c>
      <c r="H29" s="6" t="inlineStr">
        <is>
          <t>400 - "Submitted analytes do not exactly match..."</t>
        </is>
      </c>
      <c r="I29" s="6" t="inlineStr">
        <is>
          <t>Not Run</t>
        </is>
      </c>
      <c r="J29" s="6" t="inlineStr"/>
    </row>
    <row r="30">
      <c r="A30" s="12" t="inlineStr">
        <is>
          <t>TC-029</t>
        </is>
      </c>
      <c r="B30" s="6" t="inlineStr">
        <is>
          <t>Laboratory</t>
        </is>
      </c>
      <c r="C30" s="6" t="inlineStr">
        <is>
          <t>Functional</t>
        </is>
      </c>
      <c r="D30" s="6" t="inlineStr">
        <is>
          <t>High</t>
        </is>
      </c>
      <c r="E30" s="6" t="inlineStr">
        <is>
          <t>Lab Tech</t>
        </is>
      </c>
      <c r="F30" s="6" t="inlineStr">
        <is>
          <t>Reject save-results on non-draft order</t>
        </is>
      </c>
      <c r="G30" s="6" t="inlineStr">
        <is>
          <t>Attempt save-results on an order that isn't in state draft</t>
        </is>
      </c>
      <c r="H30" s="6" t="inlineStr">
        <is>
          <t>409 rejected</t>
        </is>
      </c>
      <c r="I30" s="6" t="inlineStr">
        <is>
          <t>Not Run</t>
        </is>
      </c>
      <c r="J30" s="6" t="inlineStr"/>
    </row>
    <row r="31">
      <c r="A31" s="12" t="inlineStr">
        <is>
          <t>TC-030</t>
        </is>
      </c>
      <c r="B31" s="6" t="inlineStr">
        <is>
          <t>Laboratory</t>
        </is>
      </c>
      <c r="C31" s="6" t="inlineStr">
        <is>
          <t>Functional</t>
        </is>
      </c>
      <c r="D31" s="6" t="inlineStr">
        <is>
          <t>High</t>
        </is>
      </c>
      <c r="E31" s="6" t="inlineStr">
        <is>
          <t>Lab Tech</t>
        </is>
      </c>
      <c r="F31" s="6" t="inlineStr">
        <is>
          <t>Reject mixed numeric + qualitative result</t>
        </is>
      </c>
      <c r="G31" s="6" t="inlineStr">
        <is>
          <t>Submit both a numeric result AND a qualitative resultText for the same analyte</t>
        </is>
      </c>
      <c r="H31" s="6" t="inlineStr">
        <is>
          <t>400 - mutually exclusive</t>
        </is>
      </c>
      <c r="I31" s="6" t="inlineStr">
        <is>
          <t>Not Run</t>
        </is>
      </c>
      <c r="J31" s="6" t="inlineStr"/>
    </row>
    <row r="32">
      <c r="A32" s="12" t="inlineStr">
        <is>
          <t>TC-031</t>
        </is>
      </c>
      <c r="B32" s="6" t="inlineStr">
        <is>
          <t>Laboratory</t>
        </is>
      </c>
      <c r="C32" s="6" t="inlineStr">
        <is>
          <t>Functional</t>
        </is>
      </c>
      <c r="D32" s="6" t="inlineStr">
        <is>
          <t>High</t>
        </is>
      </c>
      <c r="E32" s="6" t="inlineStr">
        <is>
          <t>Lab Tech</t>
        </is>
      </c>
      <c r="F32" s="6" t="inlineStr">
        <is>
          <t>Out-of-range result sets warning flag</t>
        </is>
      </c>
      <c r="G32" s="6" t="inlineStr">
        <is>
          <t>Submit a result outside the verified reference range</t>
        </is>
      </c>
      <c r="H32" s="6" t="inlineStr">
        <is>
          <t>warning:true is set on that criterion without blocking the save</t>
        </is>
      </c>
      <c r="I32" s="6" t="inlineStr">
        <is>
          <t>Not Run</t>
        </is>
      </c>
      <c r="J32" s="6" t="inlineStr"/>
    </row>
    <row r="33">
      <c r="A33" s="12" t="inlineStr">
        <is>
          <t>TC-032</t>
        </is>
      </c>
      <c r="B33" s="6" t="inlineStr">
        <is>
          <t>Radiology</t>
        </is>
      </c>
      <c r="C33" s="6" t="inlineStr">
        <is>
          <t>Functional</t>
        </is>
      </c>
      <c r="D33" s="6" t="inlineStr">
        <is>
          <t>High</t>
        </is>
      </c>
      <c r="E33" s="6" t="inlineStr">
        <is>
          <t>Radiology Tech</t>
        </is>
      </c>
      <c r="F33" s="6" t="inlineStr">
        <is>
          <t>Order across multiple modalities</t>
        </is>
      </c>
      <c r="G33" s="6" t="inlineStr">
        <is>
          <t>Order and finalize studies across at least 4 modalities (X-ray, Ultrasound, MRI, CT) using the newly seeded catalog (e.g. Abdominal X-Ray, Obstetric Ultrasound, Brain MRI, Chest CT)</t>
        </is>
      </c>
      <c r="H33" s="6" t="inlineStr">
        <is>
          <t>Orderable-study catalog expansion resolves correctly end-to-end, not just Chest X-Ray</t>
        </is>
      </c>
      <c r="I33" s="6" t="inlineStr">
        <is>
          <t>Not Run</t>
        </is>
      </c>
      <c r="J33" s="6" t="inlineStr">
        <is>
          <t>Verifies imaging catalog seed</t>
        </is>
      </c>
    </row>
    <row r="34">
      <c r="A34" s="12" t="inlineStr">
        <is>
          <t>TC-033</t>
        </is>
      </c>
      <c r="B34" s="6" t="inlineStr">
        <is>
          <t>Radiology</t>
        </is>
      </c>
      <c r="C34" s="6" t="inlineStr">
        <is>
          <t>Functional</t>
        </is>
      </c>
      <c r="D34" s="6" t="inlineStr">
        <is>
          <t>High</t>
        </is>
      </c>
      <c r="E34" s="6" t="inlineStr">
        <is>
          <t>Radiology Tech</t>
        </is>
      </c>
      <c r="F34" s="6" t="inlineStr">
        <is>
          <t>Reject finalize without findings</t>
        </is>
      </c>
      <c r="G34" s="6" t="inlineStr">
        <is>
          <t>Finalize a study without findings text</t>
        </is>
      </c>
      <c r="H34" s="6" t="inlineStr">
        <is>
          <t>400 - "Diagnostic findings are required"</t>
        </is>
      </c>
      <c r="I34" s="6" t="inlineStr">
        <is>
          <t>Not Run</t>
        </is>
      </c>
      <c r="J34" s="6" t="inlineStr"/>
    </row>
    <row r="35">
      <c r="A35" s="12" t="inlineStr">
        <is>
          <t>TC-034</t>
        </is>
      </c>
      <c r="B35" s="6" t="inlineStr">
        <is>
          <t>Radiology</t>
        </is>
      </c>
      <c r="C35" s="6" t="inlineStr">
        <is>
          <t>Functional</t>
        </is>
      </c>
      <c r="D35" s="6" t="inlineStr">
        <is>
          <t>High</t>
        </is>
      </c>
      <c r="E35" s="6" t="inlineStr">
        <is>
          <t>Radiology Tech</t>
        </is>
      </c>
      <c r="F35" s="6" t="inlineStr">
        <is>
          <t>Reject/guard re-finalize of done study</t>
        </is>
      </c>
      <c r="G35" s="6" t="inlineStr">
        <is>
          <t>Re-finalize an already-done study</t>
        </is>
      </c>
      <c r="H35" s="6" t="inlineStr">
        <is>
          <t>Rejected or handled gracefully, not silently overwritten</t>
        </is>
      </c>
      <c r="I35" s="6" t="inlineStr">
        <is>
          <t>Not Run</t>
        </is>
      </c>
      <c r="J35" s="6" t="inlineStr"/>
    </row>
    <row r="36">
      <c r="A36" s="13" t="inlineStr">
        <is>
          <t>TC-035</t>
        </is>
      </c>
      <c r="B36" s="14" t="inlineStr">
        <is>
          <t>Pharmacy</t>
        </is>
      </c>
      <c r="C36" s="14" t="inlineStr">
        <is>
          <t>Functional</t>
        </is>
      </c>
      <c r="D36" s="14" t="inlineStr">
        <is>
          <t>High</t>
        </is>
      </c>
      <c r="E36" s="14" t="inlineStr">
        <is>
          <t>Pharmacy/Cashier</t>
        </is>
      </c>
      <c r="F36" s="14" t="inlineStr">
        <is>
          <t>Pending vs dispensed counts are accurate</t>
        </is>
      </c>
      <c r="G36" s="14" t="inlineStr">
        <is>
          <t>View the pharmacy queue</t>
        </is>
      </c>
      <c r="H36" s="14" t="inlineStr">
        <is>
          <t>pendingDispensation vs dispensed counts match actual draft/invoiced vs done states - a fresh prescription must show as pending, never pre-dispensed</t>
        </is>
      </c>
      <c r="I36" s="14" t="inlineStr">
        <is>
          <t>Not Run</t>
        </is>
      </c>
      <c r="J36" s="14" t="inlineStr">
        <is>
          <t>Regression check - auto-dispense fix (8a41b90)</t>
        </is>
      </c>
    </row>
    <row r="37">
      <c r="A37" s="12" t="inlineStr">
        <is>
          <t>TC-036</t>
        </is>
      </c>
      <c r="B37" s="6" t="inlineStr">
        <is>
          <t>Pharmacy</t>
        </is>
      </c>
      <c r="C37" s="6" t="inlineStr">
        <is>
          <t>Functional</t>
        </is>
      </c>
      <c r="D37" s="6" t="inlineStr">
        <is>
          <t>High</t>
        </is>
      </c>
      <c r="E37" s="6" t="inlineStr">
        <is>
          <t>Pharmacy/Cashier</t>
        </is>
      </c>
      <c r="F37" s="6" t="inlineStr">
        <is>
          <t>Dispense records verification notes</t>
        </is>
      </c>
      <c r="G37" s="6" t="inlineStr">
        <is>
          <t>Dispense a prescription with verification notes entered</t>
        </is>
      </c>
      <c r="H37" s="6" t="inlineStr">
        <is>
          <t>notes field records "Dispensed by Pharmacy: ..." with the entered text</t>
        </is>
      </c>
      <c r="I37" s="6" t="inlineStr">
        <is>
          <t>Not Run</t>
        </is>
      </c>
      <c r="J37" s="6" t="inlineStr"/>
    </row>
    <row r="38">
      <c r="A38" s="12" t="inlineStr">
        <is>
          <t>TC-037</t>
        </is>
      </c>
      <c r="B38" s="6" t="inlineStr">
        <is>
          <t>Pharmacy</t>
        </is>
      </c>
      <c r="C38" s="6" t="inlineStr">
        <is>
          <t>Functional</t>
        </is>
      </c>
      <c r="D38" s="6" t="inlineStr">
        <is>
          <t>High</t>
        </is>
      </c>
      <c r="E38" s="6" t="inlineStr">
        <is>
          <t>Pharmacy/Cashier</t>
        </is>
      </c>
      <c r="F38" s="6" t="inlineStr">
        <is>
          <t>Reject double-dispense</t>
        </is>
      </c>
      <c r="G38" s="6" t="inlineStr">
        <is>
          <t>Attempt to dispense an already-done prescription</t>
        </is>
      </c>
      <c r="H38" s="6" t="inlineStr">
        <is>
          <t>No double-dispense / duplicate ledger effect</t>
        </is>
      </c>
      <c r="I38" s="6" t="inlineStr">
        <is>
          <t>Not Run</t>
        </is>
      </c>
      <c r="J38" s="6" t="inlineStr"/>
    </row>
    <row r="39">
      <c r="A39" s="12" t="inlineStr">
        <is>
          <t>TC-038</t>
        </is>
      </c>
      <c r="B39" s="6" t="inlineStr">
        <is>
          <t>Pharmacy</t>
        </is>
      </c>
      <c r="C39" s="6" t="inlineStr">
        <is>
          <t>Functional</t>
        </is>
      </c>
      <c r="D39" s="6" t="inlineStr">
        <is>
          <t>High</t>
        </is>
      </c>
      <c r="E39" s="6" t="inlineStr">
        <is>
          <t>Pharmacy/Cashier</t>
        </is>
      </c>
      <c r="F39" s="6" t="inlineStr">
        <is>
          <t>Expanded formulary resolves in picker</t>
        </is>
      </c>
      <c r="G39" s="6" t="inlineStr">
        <is>
          <t>Dispense at least one prescription line each using an IV fluid, an anticoagulant, and a vaccine from the newly-seeded formulary</t>
        </is>
      </c>
      <c r="H39" s="6" t="inlineStr">
        <is>
          <t>All three resolve correctly in the picker (60-item formulary)</t>
        </is>
      </c>
      <c r="I39" s="6" t="inlineStr">
        <is>
          <t>Not Run</t>
        </is>
      </c>
      <c r="J39" s="6" t="inlineStr">
        <is>
          <t>Verifies seed_medical_test_catalogs.py</t>
        </is>
      </c>
    </row>
    <row r="40">
      <c r="A40" s="12" t="inlineStr">
        <is>
          <t>TC-039</t>
        </is>
      </c>
      <c r="B40" s="6" t="inlineStr">
        <is>
          <t>Inpatient</t>
        </is>
      </c>
      <c r="C40" s="6" t="inlineStr">
        <is>
          <t>Functional</t>
        </is>
      </c>
      <c r="D40" s="6" t="inlineStr">
        <is>
          <t>High</t>
        </is>
      </c>
      <c r="E40" s="6" t="inlineStr">
        <is>
          <t>Nurse</t>
        </is>
      </c>
      <c r="F40" s="6" t="inlineStr">
        <is>
          <t>Admit to a free bed</t>
        </is>
      </c>
      <c r="G40" s="6" t="inlineStr">
        <is>
          <t>Admit a patient to a bed currently in state free</t>
        </is>
      </c>
      <c r="H40" s="6" t="inlineStr">
        <is>
          <t>Succeeds, bed flips to occupied</t>
        </is>
      </c>
      <c r="I40" s="6" t="inlineStr">
        <is>
          <t>Not Run</t>
        </is>
      </c>
      <c r="J40" s="6" t="inlineStr"/>
    </row>
    <row r="41">
      <c r="A41" s="13" t="inlineStr">
        <is>
          <t>TC-040</t>
        </is>
      </c>
      <c r="B41" s="14" t="inlineStr">
        <is>
          <t>Inpatient</t>
        </is>
      </c>
      <c r="C41" s="14" t="inlineStr">
        <is>
          <t>Functional</t>
        </is>
      </c>
      <c r="D41" s="14" t="inlineStr">
        <is>
          <t>High</t>
        </is>
      </c>
      <c r="E41" s="14" t="inlineStr">
        <is>
          <t>Nurse</t>
        </is>
      </c>
      <c r="F41" s="14" t="inlineStr">
        <is>
          <t>Reject admission to unavailable bed</t>
        </is>
      </c>
      <c r="G41" s="14" t="inlineStr">
        <is>
          <t>Admit a patient to a bed in state to_clean or occupied</t>
        </is>
      </c>
      <c r="H41" s="14" t="inlineStr">
        <is>
          <t>MUST be rejected with 409</t>
        </is>
      </c>
      <c r="I41" s="14" t="inlineStr">
        <is>
          <t>Not Run</t>
        </is>
      </c>
      <c r="J41" s="14" t="inlineStr">
        <is>
          <t>Regression check - bed double-booking fix (1e7d90a)</t>
        </is>
      </c>
    </row>
    <row r="42">
      <c r="A42" s="12" t="inlineStr">
        <is>
          <t>TC-041</t>
        </is>
      </c>
      <c r="B42" s="6" t="inlineStr">
        <is>
          <t>Inpatient</t>
        </is>
      </c>
      <c r="C42" s="6" t="inlineStr">
        <is>
          <t>Functional</t>
        </is>
      </c>
      <c r="D42" s="6" t="inlineStr">
        <is>
          <t>High</t>
        </is>
      </c>
      <c r="E42" s="6" t="inlineStr">
        <is>
          <t>Nurse</t>
        </is>
      </c>
      <c r="F42" s="6" t="inlineStr">
        <is>
          <t>Reject discharge with missing fields</t>
        </is>
      </c>
      <c r="G42" s="6" t="inlineStr">
        <is>
          <t>Discharge a patient without discharge reason / diagnosis / admission reason</t>
        </is>
      </c>
      <c r="H42" s="6" t="inlineStr">
        <is>
          <t>400 for each missing field individually</t>
        </is>
      </c>
      <c r="I42" s="6" t="inlineStr">
        <is>
          <t>Not Run</t>
        </is>
      </c>
      <c r="J42" s="6" t="inlineStr"/>
    </row>
    <row r="43">
      <c r="A43" s="12" t="inlineStr">
        <is>
          <t>TC-042</t>
        </is>
      </c>
      <c r="B43" s="6" t="inlineStr">
        <is>
          <t>Inpatient</t>
        </is>
      </c>
      <c r="C43" s="6" t="inlineStr">
        <is>
          <t>Functional</t>
        </is>
      </c>
      <c r="D43" s="6" t="inlineStr">
        <is>
          <t>High</t>
        </is>
      </c>
      <c r="E43" s="6" t="inlineStr">
        <is>
          <t>Nurse</t>
        </is>
      </c>
      <c r="F43" s="6" t="inlineStr">
        <is>
          <t>Discharge moves bed to to_clean</t>
        </is>
      </c>
      <c r="G43" s="6" t="inlineStr">
        <is>
          <t>Discharge with all required fields present</t>
        </is>
      </c>
      <c r="H43" s="6" t="inlineStr">
        <is>
          <t>Bed moves to to_clean, NOT straight to free</t>
        </is>
      </c>
      <c r="I43" s="6" t="inlineStr">
        <is>
          <t>Not Run</t>
        </is>
      </c>
      <c r="J43" s="6" t="inlineStr"/>
    </row>
    <row r="44">
      <c r="A44" s="12" t="inlineStr">
        <is>
          <t>TC-043</t>
        </is>
      </c>
      <c r="B44" s="6" t="inlineStr">
        <is>
          <t>Inpatient</t>
        </is>
      </c>
      <c r="C44" s="6" t="inlineStr">
        <is>
          <t>Functional</t>
        </is>
      </c>
      <c r="D44" s="6" t="inlineStr">
        <is>
          <t>High</t>
        </is>
      </c>
      <c r="E44" s="6" t="inlineStr">
        <is>
          <t>Nurse</t>
        </is>
      </c>
      <c r="F44" s="6" t="inlineStr">
        <is>
          <t>Bedclean completes the cycle</t>
        </is>
      </c>
      <c r="G44" s="6" t="inlineStr">
        <is>
          <t>Run bedclean on a to_clean bed</t>
        </is>
      </c>
      <c r="H44" s="6" t="inlineStr">
        <is>
          <t>Admission moves to finished, bed moves to free</t>
        </is>
      </c>
      <c r="I44" s="6" t="inlineStr">
        <is>
          <t>Not Run</t>
        </is>
      </c>
      <c r="J44" s="6" t="inlineStr"/>
    </row>
    <row r="45">
      <c r="A45" s="12" t="inlineStr">
        <is>
          <t>TC-044</t>
        </is>
      </c>
      <c r="B45" s="6" t="inlineStr">
        <is>
          <t>Inpatient</t>
        </is>
      </c>
      <c r="C45" s="6" t="inlineStr">
        <is>
          <t>Functional</t>
        </is>
      </c>
      <c r="D45" s="6" t="inlineStr">
        <is>
          <t>High</t>
        </is>
      </c>
      <c r="E45" s="6" t="inlineStr">
        <is>
          <t>Nurse</t>
        </is>
      </c>
      <c r="F45" s="6" t="inlineStr">
        <is>
          <t>Exercise full seeded bed inventory</t>
        </is>
      </c>
      <c r="G45" s="6" t="inlineStr">
        <is>
          <t>Cycle admit -&gt; discharge -&gt; bedclean across all 4 wards / 18 beds seeded this session, at least once each</t>
        </is>
      </c>
      <c r="H45" s="6" t="inlineStr">
        <is>
          <t>New inventory behaves identically to the original bed</t>
        </is>
      </c>
      <c r="I45" s="6" t="inlineStr">
        <is>
          <t>Not Run</t>
        </is>
      </c>
      <c r="J45" s="6" t="inlineStr">
        <is>
          <t>Verifies seed_reference_catalogs.py</t>
        </is>
      </c>
    </row>
    <row r="46">
      <c r="A46" s="12" t="inlineStr">
        <is>
          <t>TC-045</t>
        </is>
      </c>
      <c r="B46" s="6" t="inlineStr">
        <is>
          <t>Surgical Suite</t>
        </is>
      </c>
      <c r="C46" s="6" t="inlineStr">
        <is>
          <t>Functional</t>
        </is>
      </c>
      <c r="D46" s="6" t="inlineStr">
        <is>
          <t>High</t>
        </is>
      </c>
      <c r="E46" s="6" t="inlineStr">
        <is>
          <t>Physician</t>
        </is>
      </c>
      <c r="F46" s="6" t="inlineStr">
        <is>
          <t>Book surgery without an OR</t>
        </is>
      </c>
      <c r="G46" s="6" t="inlineStr">
        <is>
          <t>Book a surgery without an operating room</t>
        </is>
      </c>
      <c r="H46" s="6" t="inlineStr">
        <is>
          <t>Succeeds - OR is optional</t>
        </is>
      </c>
      <c r="I46" s="6" t="inlineStr">
        <is>
          <t>Not Run</t>
        </is>
      </c>
      <c r="J46" s="6" t="inlineStr"/>
    </row>
    <row r="47">
      <c r="A47" s="13" t="inlineStr">
        <is>
          <t>TC-046</t>
        </is>
      </c>
      <c r="B47" s="14" t="inlineStr">
        <is>
          <t>Surgical Suite</t>
        </is>
      </c>
      <c r="C47" s="14" t="inlineStr">
        <is>
          <t>Functional</t>
        </is>
      </c>
      <c r="D47" s="14" t="inlineStr">
        <is>
          <t>High</t>
        </is>
      </c>
      <c r="E47" s="14" t="inlineStr">
        <is>
          <t>Physician</t>
        </is>
      </c>
      <c r="F47" s="14" t="inlineStr">
        <is>
          <t>Book surgery with OR, no explicit end time</t>
        </is>
      </c>
      <c r="G47" s="14" t="inlineStr">
        <is>
          <t>Book a surgery with an operating room and no explicit end time</t>
        </is>
      </c>
      <c r="H47" s="14" t="inlineStr">
        <is>
          <t>Succeeds with a system-defaulted end time; the OR's own state flips to scheduled</t>
        </is>
      </c>
      <c r="I47" s="14" t="inlineStr">
        <is>
          <t>Not Run</t>
        </is>
      </c>
      <c r="J47" s="14" t="inlineStr">
        <is>
          <t>Regression check - missing surgery_end_date fix (1f9baf3)</t>
        </is>
      </c>
    </row>
    <row r="48">
      <c r="A48" s="13" t="inlineStr">
        <is>
          <t>TC-047</t>
        </is>
      </c>
      <c r="B48" s="14" t="inlineStr">
        <is>
          <t>Surgical Suite</t>
        </is>
      </c>
      <c r="C48" s="14" t="inlineStr">
        <is>
          <t>Functional</t>
        </is>
      </c>
      <c r="D48" s="14" t="inlineStr">
        <is>
          <t>High</t>
        </is>
      </c>
      <c r="E48" s="14" t="inlineStr">
        <is>
          <t>Physician</t>
        </is>
      </c>
      <c r="F48" s="14" t="inlineStr">
        <is>
          <t>Reject overlapping OR booking</t>
        </is>
      </c>
      <c r="G48" s="14" t="inlineStr">
        <is>
          <t>Book a second, genuinely overlapping surgery in the SAME OR</t>
        </is>
      </c>
      <c r="H48" s="14" t="inlineStr">
        <is>
          <t>MUST be rejected with 409</t>
        </is>
      </c>
      <c r="I48" s="14" t="inlineStr">
        <is>
          <t>Not Run</t>
        </is>
      </c>
      <c r="J48" s="14" t="inlineStr">
        <is>
          <t>Regression check - OR double-booking fix (1f9baf3)</t>
        </is>
      </c>
    </row>
    <row r="49">
      <c r="A49" s="12" t="inlineStr">
        <is>
          <t>TC-048</t>
        </is>
      </c>
      <c r="B49" s="6" t="inlineStr">
        <is>
          <t>Surgical Suite</t>
        </is>
      </c>
      <c r="C49" s="6" t="inlineStr">
        <is>
          <t>Functional</t>
        </is>
      </c>
      <c r="D49" s="6" t="inlineStr">
        <is>
          <t>High</t>
        </is>
      </c>
      <c r="E49" s="6" t="inlineStr">
        <is>
          <t>Physician</t>
        </is>
      </c>
      <c r="F49" s="6" t="inlineStr">
        <is>
          <t>Allow non-overlapping OR booking</t>
        </is>
      </c>
      <c r="G49" s="6" t="inlineStr">
        <is>
          <t>Book a non-overlapping surgery in the same OR (after the first one's end time)</t>
        </is>
      </c>
      <c r="H49" s="6" t="inlineStr">
        <is>
          <t>Succeeds</t>
        </is>
      </c>
      <c r="I49" s="6" t="inlineStr">
        <is>
          <t>Not Run</t>
        </is>
      </c>
      <c r="J49" s="6" t="inlineStr"/>
    </row>
    <row r="50">
      <c r="A50" s="12" t="inlineStr">
        <is>
          <t>TC-049</t>
        </is>
      </c>
      <c r="B50" s="6" t="inlineStr">
        <is>
          <t>Surgical Suite</t>
        </is>
      </c>
      <c r="C50" s="6" t="inlineStr">
        <is>
          <t>Functional</t>
        </is>
      </c>
      <c r="D50" s="6" t="inlineStr">
        <is>
          <t>High</t>
        </is>
      </c>
      <c r="E50" s="6" t="inlineStr">
        <is>
          <t>Physician</t>
        </is>
      </c>
      <c r="F50" s="6" t="inlineStr">
        <is>
          <t>Full surgery state lifecycle</t>
        </is>
      </c>
      <c r="G50" s="6" t="inlineStr">
        <is>
          <t>Cycle a surgery through confirmed -&gt; in_progress -&gt; done -&gt; signed via PATCH state actions</t>
        </is>
      </c>
      <c r="H50" s="6" t="inlineStr">
        <is>
          <t>Each transition succeeds; a signed surgery then rejects further writes</t>
        </is>
      </c>
      <c r="I50" s="6" t="inlineStr">
        <is>
          <t>Not Run</t>
        </is>
      </c>
      <c r="J50" s="6" t="inlineStr"/>
    </row>
    <row r="51">
      <c r="A51" s="12" t="inlineStr">
        <is>
          <t>TC-050</t>
        </is>
      </c>
      <c r="B51" s="6" t="inlineStr">
        <is>
          <t>Surgical Suite</t>
        </is>
      </c>
      <c r="C51" s="6" t="inlineStr">
        <is>
          <t>Functional</t>
        </is>
      </c>
      <c r="D51" s="6" t="inlineStr">
        <is>
          <t>High</t>
        </is>
      </c>
      <c r="E51" s="6" t="inlineStr">
        <is>
          <t>Physician</t>
        </is>
      </c>
      <c r="F51" s="6" t="inlineStr">
        <is>
          <t>Exercise all seeded operating rooms</t>
        </is>
      </c>
      <c r="G51" s="6" t="inlineStr">
        <is>
          <t>Book at least one surgery in each of the 4 seeded operating rooms</t>
        </is>
      </c>
      <c r="H51" s="6" t="inlineStr">
        <is>
          <t>All 4 ORs usable</t>
        </is>
      </c>
      <c r="I51" s="6" t="inlineStr">
        <is>
          <t>Not Run</t>
        </is>
      </c>
      <c r="J51" s="6" t="inlineStr">
        <is>
          <t>Verifies seed_reference_catalogs.py</t>
        </is>
      </c>
    </row>
    <row r="52">
      <c r="A52" s="12" t="inlineStr">
        <is>
          <t>TC-051</t>
        </is>
      </c>
      <c r="B52" s="6" t="inlineStr">
        <is>
          <t>Surgical Suite</t>
        </is>
      </c>
      <c r="C52" s="6" t="inlineStr">
        <is>
          <t>Functional</t>
        </is>
      </c>
      <c r="D52" s="6" t="inlineStr">
        <is>
          <t>High</t>
        </is>
      </c>
      <c r="E52" s="6" t="inlineStr">
        <is>
          <t>Physician</t>
        </is>
      </c>
      <c r="F52" s="6" t="inlineStr">
        <is>
          <t>Exercise newly seeded procedure codes</t>
        </is>
      </c>
      <c r="G52" s="6" t="inlineStr">
        <is>
          <t>Use several newly seeded procedure codes (e.g. appendectomy, cholecystectomy, cesarean delivery) via the ambulatory/surgery pickers</t>
        </is>
      </c>
      <c r="H52" s="6" t="inlineStr">
        <is>
          <t>Codes resolve correctly</t>
        </is>
      </c>
      <c r="I52" s="6" t="inlineStr">
        <is>
          <t>Not Run</t>
        </is>
      </c>
      <c r="J52" s="6" t="inlineStr">
        <is>
          <t>Verifies seed_medical_test_catalogs.py</t>
        </is>
      </c>
    </row>
    <row r="53">
      <c r="A53" s="12" t="inlineStr">
        <is>
          <t>TC-052</t>
        </is>
      </c>
      <c r="B53" s="6" t="inlineStr">
        <is>
          <t>Billing</t>
        </is>
      </c>
      <c r="C53" s="6" t="inlineStr">
        <is>
          <t>Functional</t>
        </is>
      </c>
      <c r="D53" s="6" t="inlineStr">
        <is>
          <t>High</t>
        </is>
      </c>
      <c r="E53" s="6" t="inlineStr">
        <is>
          <t>Cashier</t>
        </is>
      </c>
      <c r="F53" s="6" t="inlineStr">
        <is>
          <t>Create first invoice of the day</t>
        </is>
      </c>
      <c r="G53" s="6" t="inlineStr">
        <is>
          <t>Create an invoice for a patient with no existing invoice today</t>
        </is>
      </c>
      <c r="H53" s="6" t="inlineStr">
        <is>
          <t>Succeeds</t>
        </is>
      </c>
      <c r="I53" s="6" t="inlineStr">
        <is>
          <t>Not Run</t>
        </is>
      </c>
      <c r="J53" s="6" t="inlineStr"/>
    </row>
    <row r="54">
      <c r="A54" s="12" t="inlineStr">
        <is>
          <t>TC-053</t>
        </is>
      </c>
      <c r="B54" s="6" t="inlineStr">
        <is>
          <t>Billing</t>
        </is>
      </c>
      <c r="C54" s="6" t="inlineStr">
        <is>
          <t>Functional</t>
        </is>
      </c>
      <c r="D54" s="6" t="inlineStr">
        <is>
          <t>High</t>
        </is>
      </c>
      <c r="E54" s="6" t="inlineStr">
        <is>
          <t>Cashier</t>
        </is>
      </c>
      <c r="F54" s="6" t="inlineStr">
        <is>
          <t>Reject duplicate same-day invoice</t>
        </is>
      </c>
      <c r="G54" s="6" t="inlineStr">
        <is>
          <t>Create a second invoice for the same patient, same service description, same day</t>
        </is>
      </c>
      <c r="H54" s="6" t="inlineStr">
        <is>
          <t>409 - "already exists today... use that invoice instead"</t>
        </is>
      </c>
      <c r="I54" s="6" t="inlineStr">
        <is>
          <t>Not Run</t>
        </is>
      </c>
      <c r="J54" s="6" t="inlineStr"/>
    </row>
    <row r="55">
      <c r="A55" s="12" t="inlineStr">
        <is>
          <t>TC-054</t>
        </is>
      </c>
      <c r="B55" s="6" t="inlineStr">
        <is>
          <t>Billing</t>
        </is>
      </c>
      <c r="C55" s="6" t="inlineStr">
        <is>
          <t>Functional</t>
        </is>
      </c>
      <c r="D55" s="6" t="inlineStr">
        <is>
          <t>High</t>
        </is>
      </c>
      <c r="E55" s="6" t="inlineStr">
        <is>
          <t>Cashier</t>
        </is>
      </c>
      <c r="F55" s="6" t="inlineStr">
        <is>
          <t>Post invoice to General Ledger</t>
        </is>
      </c>
      <c r="G55" s="6" t="inlineStr">
        <is>
          <t>Post a draft invoice</t>
        </is>
      </c>
      <c r="H55" s="6" t="inlineStr">
        <is>
          <t>Real Tryton post action assigns a sequence number and creates the accounting move - a real INV-2026/xxxxx number appears, not a fake state flip</t>
        </is>
      </c>
      <c r="I55" s="6" t="inlineStr">
        <is>
          <t>Not Run</t>
        </is>
      </c>
      <c r="J55" s="6" t="inlineStr"/>
    </row>
    <row r="56">
      <c r="A56" s="12" t="inlineStr">
        <is>
          <t>TC-055</t>
        </is>
      </c>
      <c r="B56" s="6" t="inlineStr">
        <is>
          <t>Billing</t>
        </is>
      </c>
      <c r="C56" s="6" t="inlineStr">
        <is>
          <t>Functional</t>
        </is>
      </c>
      <c r="D56" s="6" t="inlineStr">
        <is>
          <t>High</t>
        </is>
      </c>
      <c r="E56" s="6" t="inlineStr">
        <is>
          <t>Cashier</t>
        </is>
      </c>
      <c r="F56" s="6" t="inlineStr">
        <is>
          <t>Pay a posted invoice</t>
        </is>
      </c>
      <c r="G56" s="6" t="inlineStr">
        <is>
          <t>Pay a posted invoice</t>
        </is>
      </c>
      <c r="H56" s="6" t="inlineStr">
        <is>
          <t>Real pay wizard reconciles the receivable; amountToPay: 0 and a genuine payment/move exists, not just state:"paid" with nothing behind it</t>
        </is>
      </c>
      <c r="I56" s="6" t="inlineStr">
        <is>
          <t>Not Run</t>
        </is>
      </c>
      <c r="J56" s="6" t="inlineStr"/>
    </row>
    <row r="57">
      <c r="A57" s="12" t="inlineStr">
        <is>
          <t>TC-056</t>
        </is>
      </c>
      <c r="B57" s="6" t="inlineStr">
        <is>
          <t>Billing</t>
        </is>
      </c>
      <c r="C57" s="6" t="inlineStr">
        <is>
          <t>Functional</t>
        </is>
      </c>
      <c r="D57" s="6" t="inlineStr">
        <is>
          <t>High</t>
        </is>
      </c>
      <c r="E57" s="6" t="inlineStr">
        <is>
          <t>Cashier</t>
        </is>
      </c>
      <c r="F57" s="6" t="inlineStr">
        <is>
          <t>Reject modify/delete of posted invoice</t>
        </is>
      </c>
      <c r="G57" s="6" t="inlineStr">
        <is>
          <t>Attempt to modify/delete a posted/paid invoice</t>
        </is>
      </c>
      <c r="H57" s="6" t="inlineStr">
        <is>
          <t>Rejected by Tryton's own accounting integrity rules with a clear message, not a raw 500</t>
        </is>
      </c>
      <c r="I57" s="6" t="inlineStr">
        <is>
          <t>Not Run</t>
        </is>
      </c>
      <c r="J57" s="6" t="inlineStr"/>
    </row>
    <row r="58">
      <c r="A58" s="13" t="inlineStr">
        <is>
          <t>TC-057</t>
        </is>
      </c>
      <c r="B58" s="14" t="inlineStr">
        <is>
          <t>Billing</t>
        </is>
      </c>
      <c r="C58" s="14" t="inlineStr">
        <is>
          <t>Functional</t>
        </is>
      </c>
      <c r="D58" s="14" t="inlineStr">
        <is>
          <t>High</t>
        </is>
      </c>
      <c r="E58" s="14" t="inlineStr">
        <is>
          <t>Cashier</t>
        </is>
      </c>
      <c r="F58" s="14" t="inlineStr">
        <is>
          <t>Bed products excluded from OP invoice picker</t>
        </is>
      </c>
      <c r="G58" s="14" t="inlineStr">
        <is>
          <t>Open Create Customer Invoice and check the Add Service Line Item picker</t>
        </is>
      </c>
      <c r="H58" s="14" t="inlineStr">
        <is>
          <t>Only genuine billable services appear - no ward beds in the list</t>
        </is>
      </c>
      <c r="I58" s="14" t="inlineStr">
        <is>
          <t>Not Run</t>
        </is>
      </c>
      <c r="J58" s="14" t="inlineStr">
        <is>
          <t>Regression check - bed-leak fix (0e3efa6)</t>
        </is>
      </c>
    </row>
    <row r="59">
      <c r="A59" s="13" t="inlineStr">
        <is>
          <t>TC-058</t>
        </is>
      </c>
      <c r="B59" s="14" t="inlineStr">
        <is>
          <t>Billing</t>
        </is>
      </c>
      <c r="C59" s="14" t="inlineStr">
        <is>
          <t>Functional</t>
        </is>
      </c>
      <c r="D59" s="14" t="inlineStr">
        <is>
          <t>High</t>
        </is>
      </c>
      <c r="E59" s="14" t="inlineStr">
        <is>
          <t>Cashier</t>
        </is>
      </c>
      <c r="F59" s="14" t="inlineStr">
        <is>
          <t>Multi-line invoice in one submission</t>
        </is>
      </c>
      <c r="G59" s="14" t="inlineStr">
        <is>
          <t>Add 3+ service lines (e.g. consultation + lab + imaging) in one Create Customer Invoice session and save</t>
        </is>
      </c>
      <c r="H59" s="14" t="inlineStr">
        <is>
          <t>Exactly ONE consolidated invoice is created containing all lines, not one invoice per line</t>
        </is>
      </c>
      <c r="I59" s="14" t="inlineStr">
        <is>
          <t>Not Run</t>
        </is>
      </c>
      <c r="J59" s="14" t="inlineStr">
        <is>
          <t>Regression check - multi-line fix (0e3efa6)</t>
        </is>
      </c>
    </row>
    <row r="60">
      <c r="A60" s="12" t="inlineStr">
        <is>
          <t>TC-059</t>
        </is>
      </c>
      <c r="B60" s="6" t="inlineStr">
        <is>
          <t>Insurance</t>
        </is>
      </c>
      <c r="C60" s="6" t="inlineStr">
        <is>
          <t>Functional</t>
        </is>
      </c>
      <c r="D60" s="6" t="inlineStr">
        <is>
          <t>Medium</t>
        </is>
      </c>
      <c r="E60" s="6" t="inlineStr">
        <is>
          <t>Cashier</t>
        </is>
      </c>
      <c r="F60" s="6" t="inlineStr">
        <is>
          <t>Newly seeded insurance companies appear</t>
        </is>
      </c>
      <c r="G60" s="6" t="inlineStr">
        <is>
          <t>List insurance companies</t>
        </is>
      </c>
      <c r="H60" s="6" t="inlineStr">
        <is>
          <t>The 3 newly seeded companies appear (Qatar National Health Insurance, Al Khaleej Takaful Insurance, Doha Global Assurance) alongside pre-existing entries</t>
        </is>
      </c>
      <c r="I60" s="6" t="inlineStr">
        <is>
          <t>Not Run</t>
        </is>
      </c>
      <c r="J60" s="6" t="inlineStr">
        <is>
          <t>Verifies seed_reference_catalogs.py</t>
        </is>
      </c>
    </row>
    <row r="61">
      <c r="A61" s="12" t="inlineStr">
        <is>
          <t>TC-060</t>
        </is>
      </c>
      <c r="B61" s="6" t="inlineStr">
        <is>
          <t>Insurance</t>
        </is>
      </c>
      <c r="C61" s="6" t="inlineStr">
        <is>
          <t>Functional</t>
        </is>
      </c>
      <c r="D61" s="6" t="inlineStr">
        <is>
          <t>Medium</t>
        </is>
      </c>
      <c r="E61" s="6" t="inlineStr">
        <is>
          <t>Cashier</t>
        </is>
      </c>
      <c r="F61" s="6" t="inlineStr">
        <is>
          <t>Patient-as-insurer data anomaly check</t>
        </is>
      </c>
      <c r="G61" s="6" t="inlineStr">
        <is>
          <t>Check whether party id 232 ("Rishma"), flagged as both a patient and an insurance company, is selectable as its own insurer in the enrollment flow</t>
        </is>
      </c>
      <c r="H61" s="6" t="inlineStr">
        <is>
          <t>Should not be selectable as its own insurer; if it is, raise as a new bug</t>
        </is>
      </c>
      <c r="I61" s="6" t="inlineStr">
        <is>
          <t>Not Run</t>
        </is>
      </c>
      <c r="J61" s="6" t="inlineStr">
        <is>
          <t>Known anomaly - flagged, not fixed</t>
        </is>
      </c>
    </row>
    <row r="62">
      <c r="A62" s="12" t="inlineStr">
        <is>
          <t>TC-061</t>
        </is>
      </c>
      <c r="B62" s="6" t="inlineStr">
        <is>
          <t>Insurance</t>
        </is>
      </c>
      <c r="C62" s="6" t="inlineStr">
        <is>
          <t>Functional</t>
        </is>
      </c>
      <c r="D62" s="6" t="inlineStr">
        <is>
          <t>Medium</t>
        </is>
      </c>
      <c r="E62" s="6" t="inlineStr">
        <is>
          <t>Cashier</t>
        </is>
      </c>
      <c r="F62" s="6" t="inlineStr">
        <is>
          <t>Enroll patient in insurance policy</t>
        </is>
      </c>
      <c r="G62" s="6" t="inlineStr">
        <is>
          <t>Enroll a patient in an insurance policy</t>
        </is>
      </c>
      <c r="H62" s="6" t="inlineStr">
        <is>
          <t>Policy appears on the patient's chart</t>
        </is>
      </c>
      <c r="I62" s="6" t="inlineStr">
        <is>
          <t>Not Run</t>
        </is>
      </c>
      <c r="J62" s="6" t="inlineStr"/>
    </row>
    <row r="63">
      <c r="A63" s="12" t="inlineStr">
        <is>
          <t>TC-062</t>
        </is>
      </c>
      <c r="B63" s="6" t="inlineStr">
        <is>
          <t>Admin / RBAC</t>
        </is>
      </c>
      <c r="C63" s="6" t="inlineStr">
        <is>
          <t>Security</t>
        </is>
      </c>
      <c r="D63" s="6" t="inlineStr">
        <is>
          <t>High</t>
        </is>
      </c>
      <c r="E63" s="6" t="inlineStr">
        <is>
          <t>Admin</t>
        </is>
      </c>
      <c r="F63" s="6" t="inlineStr">
        <is>
          <t>Persona landing + role isolation</t>
        </is>
      </c>
      <c r="G63" s="6" t="inlineStr">
        <is>
          <t>Log in as each of the 8 personas</t>
        </is>
      </c>
      <c r="H63" s="6" t="inlineStr">
        <is>
          <t>Each lands on its correct default route and cannot access another role's write actions (e.g. cashier cannot create a prescription; front desk cannot see clinical SOAP content)</t>
        </is>
      </c>
      <c r="I63" s="6" t="inlineStr">
        <is>
          <t>Not Run</t>
        </is>
      </c>
      <c r="J63" s="6" t="inlineStr"/>
    </row>
    <row r="64">
      <c r="A64" s="12" t="inlineStr">
        <is>
          <t>TC-063</t>
        </is>
      </c>
      <c r="B64" s="6" t="inlineStr">
        <is>
          <t>Admin / RBAC</t>
        </is>
      </c>
      <c r="C64" s="6" t="inlineStr">
        <is>
          <t>Security</t>
        </is>
      </c>
      <c r="D64" s="6" t="inlineStr">
        <is>
          <t>High</t>
        </is>
      </c>
      <c r="E64" s="6" t="inlineStr">
        <is>
          <t>Admin</t>
        </is>
      </c>
      <c r="F64" s="6" t="inlineStr">
        <is>
          <t>ACL grants correctly scoped</t>
        </is>
      </c>
      <c r="G64" s="6" t="inlineStr">
        <is>
          <t>Confirm demo_dr1 (Health Doctor group) can create gnuhealth.lab orders and write gnuhealth.hospital.or state</t>
        </is>
      </c>
      <c r="H64" s="6" t="inlineStr">
        <is>
          <t>Both actions succeed, but demo_dr1 still CANNOT delete a lab order (delete was deliberately left False)</t>
        </is>
      </c>
      <c r="I64" s="6" t="inlineStr">
        <is>
          <t>Not Run</t>
        </is>
      </c>
      <c r="J64" s="6" t="inlineStr">
        <is>
          <t>Verifies this session's ACL grants</t>
        </is>
      </c>
    </row>
    <row r="65">
      <c r="A65" s="15" t="inlineStr">
        <is>
          <t>TC-064</t>
        </is>
      </c>
      <c r="B65" s="16" t="inlineStr">
        <is>
          <t>Cross-Cutting</t>
        </is>
      </c>
      <c r="C65" s="16" t="inlineStr">
        <is>
          <t>Negative/Security</t>
        </is>
      </c>
      <c r="D65" s="16" t="inlineStr">
        <is>
          <t>High</t>
        </is>
      </c>
      <c r="E65" s="16" t="inlineStr">
        <is>
          <t>Any</t>
        </is>
      </c>
      <c r="F65" s="16" t="inlineStr">
        <is>
          <t>Reject requests with no session</t>
        </is>
      </c>
      <c r="G65" s="16" t="inlineStr">
        <is>
          <t>Call any POST/PATCH endpoint with a missing session cookie</t>
        </is>
      </c>
      <c r="H65" s="16" t="inlineStr">
        <is>
          <t>401 response</t>
        </is>
      </c>
      <c r="I65" s="16" t="inlineStr">
        <is>
          <t>Not Run</t>
        </is>
      </c>
      <c r="J65" s="16" t="inlineStr"/>
    </row>
    <row r="66">
      <c r="A66" s="15" t="inlineStr">
        <is>
          <t>TC-065</t>
        </is>
      </c>
      <c r="B66" s="16" t="inlineStr">
        <is>
          <t>Cross-Cutting</t>
        </is>
      </c>
      <c r="C66" s="16" t="inlineStr">
        <is>
          <t>Negative/Security</t>
        </is>
      </c>
      <c r="D66" s="16" t="inlineStr">
        <is>
          <t>High</t>
        </is>
      </c>
      <c r="E66" s="16" t="inlineStr">
        <is>
          <t>Any</t>
        </is>
      </c>
      <c r="F66" s="16" t="inlineStr">
        <is>
          <t>Enforce role gating on every endpoint</t>
        </is>
      </c>
      <c r="G66" s="16" t="inlineStr">
        <is>
          <t>Hit every hasModuleAccess-gated endpoint with a role that shouldn't have access</t>
        </is>
      </c>
      <c r="H66" s="16" t="inlineStr">
        <is>
          <t>403 with a role-appropriate message, not a stack trace</t>
        </is>
      </c>
      <c r="I66" s="16" t="inlineStr">
        <is>
          <t>Not Run</t>
        </is>
      </c>
      <c r="J66" s="16" t="inlineStr"/>
    </row>
    <row r="67">
      <c r="A67" s="15" t="inlineStr">
        <is>
          <t>TC-066</t>
        </is>
      </c>
      <c r="B67" s="16" t="inlineStr">
        <is>
          <t>Cross-Cutting</t>
        </is>
      </c>
      <c r="C67" s="16" t="inlineStr">
        <is>
          <t>Negative/Security</t>
        </is>
      </c>
      <c r="D67" s="16" t="inlineStr">
        <is>
          <t>High</t>
        </is>
      </c>
      <c r="E67" s="16" t="inlineStr">
        <is>
          <t>Any</t>
        </is>
      </c>
      <c r="F67" s="16" t="inlineStr">
        <is>
          <t>Reject invalid ids gracefully</t>
        </is>
      </c>
      <c r="G67" s="16" t="inlineStr">
        <is>
          <t>Submit an out-of-range or negative id for any *Id field</t>
        </is>
      </c>
      <c r="H67" s="16" t="inlineStr">
        <is>
          <t>400, not a raw Tryton exception</t>
        </is>
      </c>
      <c r="I67" s="16" t="inlineStr">
        <is>
          <t>Not Run</t>
        </is>
      </c>
      <c r="J67" s="16" t="inlineStr"/>
    </row>
    <row r="68">
      <c r="A68" s="15" t="inlineStr">
        <is>
          <t>TC-067</t>
        </is>
      </c>
      <c r="B68" s="16" t="inlineStr">
        <is>
          <t>Cross-Cutting</t>
        </is>
      </c>
      <c r="C68" s="16" t="inlineStr">
        <is>
          <t>Negative/Security</t>
        </is>
      </c>
      <c r="D68" s="16" t="inlineStr">
        <is>
          <t>High</t>
        </is>
      </c>
      <c r="E68" s="16" t="inlineStr">
        <is>
          <t>Any</t>
        </is>
      </c>
      <c r="F68" s="16" t="inlineStr">
        <is>
          <t>No internal error leakage</t>
        </is>
      </c>
      <c r="G68" s="16" t="inlineStr">
        <is>
          <t>Force an AccessError and an IntegrityError from the backend</t>
        </is>
      </c>
      <c r="H68" s="16" t="inlineStr">
        <is>
          <t>tryton-client.ts's error translation is hit in both cases - no raw SQL/stack detail ever reaches the client</t>
        </is>
      </c>
      <c r="I68" s="16" t="inlineStr">
        <is>
          <t>Not Run</t>
        </is>
      </c>
      <c r="J68" s="16" t="inlineStr"/>
    </row>
  </sheetData>
  <dataValidations count="1">
    <dataValidation sqref="I2:I68" showDropDown="0" showInputMessage="0" showErrorMessage="0" allowBlank="1" type="list">
      <formula1>"Not Run,Pass,Fail,Blocked"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2026-09-30T08:42:26Z</dcterms:created>
  <dcterms:modified xmlns:dcterms="http://purl.org/dc/terms/" xmlns:xsi="http://www.w3.org/2001/XMLSchema-instance" xsi:type="dcterms:W3CDTF">2026-09-30T08:42:26Z</dcterms:modified>
</cp:coreProperties>
</file>